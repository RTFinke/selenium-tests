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odsumowanie" sheetId="1" r:id="rId1"/>
    <sheet name="Osoby" sheetId="2" r:id="rId2"/>
    <sheet name="Próby" sheetId="3" r:id="rId3"/>
    <sheet name="Osoby i wymiary" sheetId="4" r:id="rId4"/>
    <sheet name="Równa waga osób" sheetId="5" r:id="rId5"/>
    <sheet name="Dane źródłowe" sheetId="6" r:id="rId6"/>
    <sheet name="Jak czytać" sheetId="7" r:id="rId7"/>
    <sheet name="Pliki źródłowe" sheetId="8" r:id="rId8"/>
  </sheets>
  <calcPr calcId="191029" fullCalcOnLoad="1"/>
</workbook>
</file>

<file path=xl/styles.xml><?xml version="1.0" encoding="utf-8"?>
<styleSheet xmlns="http://schemas.openxmlformats.org/spreadsheetml/2006/main">
  <numFmts count="4">
    <numFmt numFmtId="164" formatCode="0.00"/>
    <numFmt numFmtId="165" formatCode="+0.00;-0.00;0.00"/>
    <numFmt numFmtId="166" formatCode="0.##"/>
    <numFmt numFmtId="167" formatCode="0.00&quot; cm gorzej&quot;;0.00&quot; cm lepiej&quot;;&quot;Bez zmiany&quot;"/>
  </numFmts>
  <fonts count="5">
    <font>
      <sz val="11"/>
      <color rgb="FF203D4D"/>
      <name val="Calibri"/>
    </font>
    <font>
      <b/>
      <sz val="11"/>
      <color rgb="FFFFFFFF"/>
      <name val="Calibri"/>
    </font>
    <font>
      <b/>
      <sz val="20"/>
      <color rgb="FF203D4D"/>
      <name val="Calibri"/>
    </font>
    <font>
      <sz val="10"/>
      <color rgb="FF536773"/>
      <name val="Calibri"/>
    </font>
    <font>
      <b/>
      <sz val="11"/>
      <color rgb="FF203D4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D4D"/>
        <bgColor indexed="64"/>
      </patternFill>
    </fill>
    <fill>
      <patternFill patternType="solid">
        <fgColor rgb="FFEAF1F5"/>
        <bgColor indexed="64"/>
      </patternFill>
    </fill>
    <fill>
      <patternFill patternType="solid">
        <fgColor rgb="FFFFF3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>
      <alignment vertical="center"/>
    </xf>
    <xf numFmtId="0" fontId="1" fillId="2" borderId="0" xfId="0" applyAlignment="1">
      <alignment vertical="center" wrapText="1"/>
    </xf>
    <xf numFmtId="164" fontId="0" fillId="0" borderId="0" xfId="0" applyNumberFormat="1">
      <alignment horizontal="center" vertical="center"/>
    </xf>
    <xf numFmtId="165" fontId="0" fillId="0" borderId="0" xfId="0" applyNumberFormat="1">
      <alignment horizontal="center" vertical="center"/>
    </xf>
    <xf numFmtId="0" fontId="0" fillId="0" borderId="0" xfId="0">
      <alignment horizontal="center" vertical="center"/>
    </xf>
    <xf numFmtId="0" fontId="2" fillId="0" borderId="0" xfId="0">
      <alignment vertical="center"/>
    </xf>
    <xf numFmtId="0" fontId="3" fillId="0" borderId="0" xfId="0" applyAlignment="1">
      <alignment vertical="center" wrapText="1"/>
    </xf>
    <xf numFmtId="164" fontId="4" fillId="3" borderId="0" xfId="0" applyNumberFormat="1">
      <alignment horizontal="center" vertical="center"/>
    </xf>
    <xf numFmtId="0" fontId="4" fillId="3" borderId="0" xfId="0">
      <alignment vertical="center"/>
    </xf>
    <xf numFmtId="166" fontId="0" fillId="0" borderId="0" xfId="0" applyNumberFormat="1">
      <alignment horizontal="center" vertical="center"/>
    </xf>
    <xf numFmtId="0" fontId="0" fillId="4" borderId="0" xfId="0">
      <alignment vertical="center"/>
    </xf>
    <xf numFmtId="0" fontId="1" fillId="2" borderId="0" xfId="0" applyAlignment="1">
      <alignment horizontal="center" vertical="center" wrapText="1"/>
    </xf>
    <xf numFmtId="167" fontId="0" fillId="0" borderId="0" xfId="0" applyNumberFormat="1">
      <alignment horizontal="center" vertical="center"/>
    </xf>
  </cellXfs>
  <cellStyles count="1">
    <cellStyle name="Normal" xfId="0" builtinId="0"/>
  </cellStyles>
  <dxfs count="2">
    <dxf>
      <font>
        <color rgb="FF197047"/>
      </font>
      <fill>
        <patternFill patternType="solid">
          <fgColor rgb="FFE2F3E9"/>
        </patternFill>
      </fill>
    </dxf>
    <dxf>
      <font>
        <color rgb="FFA33333"/>
      </font>
      <fill>
        <patternFill patternType="solid">
          <fgColor rgb="FFFCE7E7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32"/>
  <sheetViews>
    <sheetView workbookViewId="0" showGridLines="0">
      <pane ySplit="7" topLeftCell="A8" activePane="bottomLeft" state="frozen"/>
    </sheetView>
  </sheetViews>
  <sheetFormatPr defaultRowHeight="22"/>
  <cols>
    <col min="1" max="1" width="42" customWidth="1"/>
    <col min="2" max="2" width="27" customWidth="1"/>
    <col min="3" max="3" width="27" customWidth="1"/>
    <col min="4" max="4" width="27" customWidth="1"/>
    <col min="5" max="5" width="27" customWidth="1"/>
    <col min="6" max="6" width="27" customWidth="1"/>
    <col min="7" max="7" width="24" customWidth="1"/>
  </cols>
  <sheetData>
    <row r="1" ht="32" customHeight="1">
      <c r="A1" s="5" t="inlineStr">
        <is>
          <t>Siz3r — porównanie pomiarów ciała</t>
        </is>
      </c>
    </row>
    <row r="2" ht="28" customHeight="1">
      <c r="A2" s="6" t="inlineStr">
        <is>
          <t>12 plików • 4 osoby • 1 i 2 zdjęcia • wszystkie wartości w cm</t>
        </is>
      </c>
    </row>
    <row r="3" ht="28" customHeight="1">
      <c r="A3" s="6" t="inlineStr">
        <is>
          <t>Średnia pomyłka: o ile cm wynik odbiega od rzeczywistego pomiaru, niezależnie od tego, czy jest większy, czy mniejszy.</t>
        </is>
      </c>
    </row>
    <row r="4" ht="28" customHeight="1">
      <c r="A4" s="6" t="inlineStr">
        <is>
          <t>Zawyżenie / zaniżenie: + oznacza wynik za duży, − za mały. Zawyżenia i zaniżenia mogą się znosić w średniej.</t>
        </is>
      </c>
    </row>
    <row r="5" ht="28" customHeight="1">
      <c r="A5" s="6" t="inlineStr">
        <is>
          <t>Co daje 2. zdjęcie? „Lepiej” oznacza mniejszą średnią pomyłkę, a „gorzej” większą. Każda próba ma jednakową wagę.</t>
        </is>
      </c>
    </row>
    <row r="6"/>
    <row r="7" ht="76" customHeight="1">
      <c r="A7" s="1" t="inlineStr">
        <is>
          <t>Mierzony wymiar</t>
        </is>
      </c>
      <c r="B7" s="11" t="inlineStr">
        <is>
          <t>Średnio o ile Siz3r się myli [cm]
1 zdjęcie</t>
        </is>
      </c>
      <c r="C7" s="11" t="inlineStr">
        <is>
          <t>Średnio o ile Siz3r się myli [cm]
2 zdjęcia</t>
        </is>
      </c>
      <c r="D7" s="11" t="inlineStr">
        <is>
          <t>Co daje 2. zdjęcie?
Lepiej / gorzej</t>
        </is>
      </c>
      <c r="E7" s="11" t="inlineStr">
        <is>
          <t>Średnie zawyżenie lub zaniżenie [cm]
1 zdjęcie</t>
        </is>
      </c>
      <c r="F7" s="11" t="inlineStr">
        <is>
          <t>Średnie zawyżenie lub zaniżenie [cm]
2 zdjęcia</t>
        </is>
      </c>
      <c r="G7" s="1" t="inlineStr">
        <is>
          <t>Który wariant jest dokładniejszy?</t>
        </is>
      </c>
    </row>
    <row r="8">
      <c r="A8" s="0" t="inlineStr">
        <is>
          <t>Wzrost</t>
        </is>
      </c>
      <c r="B8" s="2">
        <f>AVERAGEIFS('Dane źródłowe'!$I$2:$I$253,'Dane źródłowe'!$D$2:$D$253,1,'Dane źródłowe'!$E$2:$E$253,A8)</f>
        <v>0.0</v>
      </c>
      <c r="C8" s="2">
        <f>AVERAGEIFS('Dane źródłowe'!$I$2:$I$253,'Dane źródłowe'!$D$2:$D$253,2,'Dane źródłowe'!$E$2:$E$253,A8)</f>
        <v>0.0</v>
      </c>
      <c r="D8" s="12">
        <f>C8-B8</f>
        <v>0.0</v>
      </c>
      <c r="E8" s="3">
        <f>AVERAGEIFS('Dane źródłowe'!$H$2:$H$253,'Dane źródłowe'!$D$2:$D$253,1,'Dane źródłowe'!$E$2:$E$253,A8)</f>
        <v>0.0</v>
      </c>
      <c r="F8" s="3">
        <f>AVERAGEIFS('Dane źródłowe'!$H$2:$H$253,'Dane źródłowe'!$D$2:$D$253,2,'Dane źródłowe'!$E$2:$E$253,A8)</f>
        <v>0.0</v>
      </c>
      <c r="G8" s="0" t="str">
        <f>IF(B8&lt;C8,"1 zdjęcie",IF(C8&lt;B8,"2 zdjęcia","Tak samo"))</f>
        <v>Tak samo</v>
      </c>
    </row>
    <row r="9">
      <c r="A9" s="0" t="inlineStr">
        <is>
          <t>Obwód szyi</t>
        </is>
      </c>
      <c r="B9" s="2">
        <f>AVERAGEIFS('Dane źródłowe'!$I$2:$I$253,'Dane źródłowe'!$D$2:$D$253,1,'Dane źródłowe'!$E$2:$E$253,A9)</f>
        <v>4.333333333333333</v>
      </c>
      <c r="C9" s="2">
        <f>AVERAGEIFS('Dane źródłowe'!$I$2:$I$253,'Dane źródłowe'!$D$2:$D$253,2,'Dane źródłowe'!$E$2:$E$253,A9)</f>
        <v>3.3333333333333335</v>
      </c>
      <c r="D9" s="12">
        <f>C9-B9</f>
        <v>-0.9999999999999996</v>
      </c>
      <c r="E9" s="3">
        <f>AVERAGEIFS('Dane źródłowe'!$H$2:$H$253,'Dane źródłowe'!$D$2:$D$253,1,'Dane źródłowe'!$E$2:$E$253,A9)</f>
        <v>4.166666666666667</v>
      </c>
      <c r="F9" s="3">
        <f>AVERAGEIFS('Dane źródłowe'!$H$2:$H$253,'Dane źródłowe'!$D$2:$D$253,2,'Dane źródłowe'!$E$2:$E$253,A9)</f>
        <v>3.0</v>
      </c>
      <c r="G9" s="0" t="str">
        <f>IF(B9&lt;C9,"1 zdjęcie",IF(C9&lt;B9,"2 zdjęcia","Tak samo"))</f>
        <v>2 zdjęcia</v>
      </c>
    </row>
    <row r="10">
      <c r="A10" s="0" t="inlineStr">
        <is>
          <t>Szerokość ramion</t>
        </is>
      </c>
      <c r="B10" s="2">
        <f>AVERAGEIFS('Dane źródłowe'!$I$2:$I$253,'Dane źródłowe'!$D$2:$D$253,1,'Dane źródłowe'!$E$2:$E$253,A10)</f>
        <v>1.75</v>
      </c>
      <c r="C10" s="2">
        <f>AVERAGEIFS('Dane źródłowe'!$I$2:$I$253,'Dane źródłowe'!$D$2:$D$253,2,'Dane źródłowe'!$E$2:$E$253,A10)</f>
        <v>1.75</v>
      </c>
      <c r="D10" s="12">
        <f>C10-B10</f>
        <v>0.0</v>
      </c>
      <c r="E10" s="3">
        <f>AVERAGEIFS('Dane źródłowe'!$H$2:$H$253,'Dane źródłowe'!$D$2:$D$253,1,'Dane źródłowe'!$E$2:$E$253,A10)</f>
        <v>1.75</v>
      </c>
      <c r="F10" s="3">
        <f>AVERAGEIFS('Dane źródłowe'!$H$2:$H$253,'Dane źródłowe'!$D$2:$D$253,2,'Dane źródłowe'!$E$2:$E$253,A10)</f>
        <v>0.25</v>
      </c>
      <c r="G10" s="0" t="str">
        <f>IF(B10&lt;C10,"1 zdjęcie",IF(C10&lt;B10,"2 zdjęcia","Tak samo"))</f>
        <v>Tak samo</v>
      </c>
    </row>
    <row r="11">
      <c r="A11" s="0" t="inlineStr">
        <is>
          <t>Obwód klatki piersiowej</t>
        </is>
      </c>
      <c r="B11" s="2">
        <f>AVERAGEIFS('Dane źródłowe'!$I$2:$I$253,'Dane źródłowe'!$D$2:$D$253,1,'Dane źródłowe'!$E$2:$E$253,A11)</f>
        <v>4.5</v>
      </c>
      <c r="C11" s="2">
        <f>AVERAGEIFS('Dane źródłowe'!$I$2:$I$253,'Dane źródłowe'!$D$2:$D$253,2,'Dane źródłowe'!$E$2:$E$253,A11)</f>
        <v>5.333333333333333</v>
      </c>
      <c r="D11" s="12">
        <f>C11-B11</f>
        <v>0.833333333333333</v>
      </c>
      <c r="E11" s="3">
        <f>AVERAGEIFS('Dane źródłowe'!$H$2:$H$253,'Dane źródłowe'!$D$2:$D$253,1,'Dane źródłowe'!$E$2:$E$253,A11)</f>
        <v>-0.5</v>
      </c>
      <c r="F11" s="3">
        <f>AVERAGEIFS('Dane źródłowe'!$H$2:$H$253,'Dane źródłowe'!$D$2:$D$253,2,'Dane źródłowe'!$E$2:$E$253,A11)</f>
        <v>0.6666666666666666</v>
      </c>
      <c r="G11" s="0" t="str">
        <f>IF(B11&lt;C11,"1 zdjęcie",IF(C11&lt;B11,"2 zdjęcia","Tak samo"))</f>
        <v>1 zdjęcie</v>
      </c>
    </row>
    <row r="12">
      <c r="A12" s="0" t="inlineStr">
        <is>
          <t>Obwód biustu</t>
        </is>
      </c>
      <c r="B12" s="2">
        <f>AVERAGEIFS('Dane źródłowe'!$I$2:$I$253,'Dane źródłowe'!$D$2:$D$253,1,'Dane źródłowe'!$E$2:$E$253,A12)</f>
        <v>4.666666666666667</v>
      </c>
      <c r="C12" s="2">
        <f>AVERAGEIFS('Dane źródłowe'!$I$2:$I$253,'Dane źródłowe'!$D$2:$D$253,2,'Dane źródłowe'!$E$2:$E$253,A12)</f>
        <v>5.5</v>
      </c>
      <c r="D12" s="12">
        <f>C12-B12</f>
        <v>0.833333333333333</v>
      </c>
      <c r="E12" s="3">
        <f>AVERAGEIFS('Dane źródłowe'!$H$2:$H$253,'Dane źródłowe'!$D$2:$D$253,1,'Dane źródłowe'!$E$2:$E$253,A12)</f>
        <v>-0.3333333333333333</v>
      </c>
      <c r="F12" s="3">
        <f>AVERAGEIFS('Dane źródłowe'!$H$2:$H$253,'Dane źródłowe'!$D$2:$D$253,2,'Dane źródłowe'!$E$2:$E$253,A12)</f>
        <v>0.8333333333333334</v>
      </c>
      <c r="G12" s="0" t="str">
        <f>IF(B12&lt;C12,"1 zdjęcie",IF(C12&lt;B12,"2 zdjęcia","Tak samo"))</f>
        <v>1 zdjęcie</v>
      </c>
    </row>
    <row r="13">
      <c r="A13" s="0" t="inlineStr">
        <is>
          <t>Obwód pod biustem</t>
        </is>
      </c>
      <c r="B13" s="2">
        <f>AVERAGEIFS('Dane źródłowe'!$I$2:$I$253,'Dane źródłowe'!$D$2:$D$253,1,'Dane źródłowe'!$E$2:$E$253,A13)</f>
        <v>5.5</v>
      </c>
      <c r="C13" s="2">
        <f>AVERAGEIFS('Dane źródłowe'!$I$2:$I$253,'Dane źródłowe'!$D$2:$D$253,2,'Dane źródłowe'!$E$2:$E$253,A13)</f>
        <v>5.166666666666667</v>
      </c>
      <c r="D13" s="12">
        <f>C13-B13</f>
        <v>-0.33333333333333304</v>
      </c>
      <c r="E13" s="3">
        <f>AVERAGEIFS('Dane źródłowe'!$H$2:$H$253,'Dane źródłowe'!$D$2:$D$253,1,'Dane źródłowe'!$E$2:$E$253,A13)</f>
        <v>2.8333333333333335</v>
      </c>
      <c r="F13" s="3">
        <f>AVERAGEIFS('Dane źródłowe'!$H$2:$H$253,'Dane źródłowe'!$D$2:$D$253,2,'Dane źródłowe'!$E$2:$E$253,A13)</f>
        <v>3.5</v>
      </c>
      <c r="G13" s="0" t="str">
        <f>IF(B13&lt;C13,"1 zdjęcie",IF(C13&lt;B13,"2 zdjęcia","Tak samo"))</f>
        <v>2 zdjęcia</v>
      </c>
    </row>
    <row r="14">
      <c r="A14" s="0" t="inlineStr">
        <is>
          <t>Długość ramienia</t>
        </is>
      </c>
      <c r="B14" s="2">
        <f>AVERAGEIFS('Dane źródłowe'!$I$2:$I$253,'Dane źródłowe'!$D$2:$D$253,1,'Dane źródłowe'!$E$2:$E$253,A14)</f>
        <v>1.0</v>
      </c>
      <c r="C14" s="2">
        <f>AVERAGEIFS('Dane źródłowe'!$I$2:$I$253,'Dane źródłowe'!$D$2:$D$253,2,'Dane źródłowe'!$E$2:$E$253,A14)</f>
        <v>3.75</v>
      </c>
      <c r="D14" s="12">
        <f>C14-B14</f>
        <v>2.75</v>
      </c>
      <c r="E14" s="3">
        <f>AVERAGEIFS('Dane źródłowe'!$H$2:$H$253,'Dane źródłowe'!$D$2:$D$253,1,'Dane źródłowe'!$E$2:$E$253,A14)</f>
        <v>1.0</v>
      </c>
      <c r="F14" s="3">
        <f>AVERAGEIFS('Dane źródłowe'!$H$2:$H$253,'Dane źródłowe'!$D$2:$D$253,2,'Dane źródłowe'!$E$2:$E$253,A14)</f>
        <v>3.25</v>
      </c>
      <c r="G14" s="0" t="str">
        <f>IF(B14&lt;C14,"1 zdjęcie",IF(C14&lt;B14,"2 zdjęcia","Tak samo"))</f>
        <v>1 zdjęcie</v>
      </c>
    </row>
    <row r="15">
      <c r="A15" s="0" t="inlineStr">
        <is>
          <t>Obwód ramienia</t>
        </is>
      </c>
      <c r="B15" s="2">
        <f>AVERAGEIFS('Dane źródłowe'!$I$2:$I$253,'Dane źródłowe'!$D$2:$D$253,1,'Dane źródłowe'!$E$2:$E$253,A15)</f>
        <v>6.166666666666667</v>
      </c>
      <c r="C15" s="2">
        <f>AVERAGEIFS('Dane źródłowe'!$I$2:$I$253,'Dane źródłowe'!$D$2:$D$253,2,'Dane źródłowe'!$E$2:$E$253,A15)</f>
        <v>1.6666666666666667</v>
      </c>
      <c r="D15" s="12">
        <f>C15-B15</f>
        <v>-4.5</v>
      </c>
      <c r="E15" s="3">
        <f>AVERAGEIFS('Dane źródłowe'!$H$2:$H$253,'Dane źródłowe'!$D$2:$D$253,1,'Dane źródłowe'!$E$2:$E$253,A15)</f>
        <v>-4.5</v>
      </c>
      <c r="F15" s="3">
        <f>AVERAGEIFS('Dane źródłowe'!$H$2:$H$253,'Dane źródłowe'!$D$2:$D$253,2,'Dane źródłowe'!$E$2:$E$253,A15)</f>
        <v>0.3333333333333333</v>
      </c>
      <c r="G15" s="0" t="str">
        <f>IF(B15&lt;C15,"1 zdjęcie",IF(C15&lt;B15,"2 zdjęcia","Tak samo"))</f>
        <v>2 zdjęcia</v>
      </c>
    </row>
    <row r="16">
      <c r="A16" s="0" t="inlineStr">
        <is>
          <t>Obwód nadgarstka</t>
        </is>
      </c>
      <c r="B16" s="2">
        <f>AVERAGEIFS('Dane źródłowe'!$I$2:$I$253,'Dane źródłowe'!$D$2:$D$253,1,'Dane źródłowe'!$E$2:$E$253,A16)</f>
        <v>2.3333333333333335</v>
      </c>
      <c r="C16" s="2">
        <f>AVERAGEIFS('Dane źródłowe'!$I$2:$I$253,'Dane źródłowe'!$D$2:$D$253,2,'Dane źródłowe'!$E$2:$E$253,A16)</f>
        <v>3.6666666666666665</v>
      </c>
      <c r="D16" s="12">
        <f>C16-B16</f>
        <v>1.333333333333333</v>
      </c>
      <c r="E16" s="3">
        <f>AVERAGEIFS('Dane źródłowe'!$H$2:$H$253,'Dane źródłowe'!$D$2:$D$253,1,'Dane źródłowe'!$E$2:$E$253,A16)</f>
        <v>-1.3333333333333333</v>
      </c>
      <c r="F16" s="3">
        <f>AVERAGEIFS('Dane źródłowe'!$H$2:$H$253,'Dane źródłowe'!$D$2:$D$253,2,'Dane źródłowe'!$E$2:$E$253,A16)</f>
        <v>3.6666666666666665</v>
      </c>
      <c r="G16" s="0" t="str">
        <f>IF(B16&lt;C16,"1 zdjęcie",IF(C16&lt;B16,"2 zdjęcia","Tak samo"))</f>
        <v>1 zdjęcie</v>
      </c>
    </row>
    <row r="17">
      <c r="A17" s="0" t="inlineStr">
        <is>
          <t>Długość tułowia</t>
        </is>
      </c>
      <c r="B17" s="2">
        <f>AVERAGEIFS('Dane źródłowe'!$I$2:$I$253,'Dane źródłowe'!$D$2:$D$253,1,'Dane źródłowe'!$E$2:$E$253,A17)</f>
        <v>21.0</v>
      </c>
      <c r="C17" s="2">
        <f>AVERAGEIFS('Dane źródłowe'!$I$2:$I$253,'Dane źródłowe'!$D$2:$D$253,2,'Dane źródłowe'!$E$2:$E$253,A17)</f>
        <v>20.333333333333332</v>
      </c>
      <c r="D17" s="12">
        <f>C17-B17</f>
        <v>-0.6666666666666679</v>
      </c>
      <c r="E17" s="3">
        <f>AVERAGEIFS('Dane źródłowe'!$H$2:$H$253,'Dane źródłowe'!$D$2:$D$253,1,'Dane źródłowe'!$E$2:$E$253,A17)</f>
        <v>21.0</v>
      </c>
      <c r="F17" s="3">
        <f>AVERAGEIFS('Dane źródłowe'!$H$2:$H$253,'Dane źródłowe'!$D$2:$D$253,2,'Dane źródłowe'!$E$2:$E$253,A17)</f>
        <v>20.333333333333332</v>
      </c>
      <c r="G17" s="0" t="str">
        <f>IF(B17&lt;C17,"1 zdjęcie",IF(C17&lt;B17,"2 zdjęcia","Tak samo"))</f>
        <v>2 zdjęcia</v>
      </c>
    </row>
    <row r="18">
      <c r="A18" s="0" t="inlineStr">
        <is>
          <t>Długość przodu</t>
        </is>
      </c>
      <c r="B18" s="2">
        <f>AVERAGEIFS('Dane źródłowe'!$I$2:$I$253,'Dane źródłowe'!$D$2:$D$253,1,'Dane źródłowe'!$E$2:$E$253,A18)</f>
        <v>5.0</v>
      </c>
      <c r="C18" s="2">
        <f>AVERAGEIFS('Dane źródłowe'!$I$2:$I$253,'Dane źródłowe'!$D$2:$D$253,2,'Dane źródłowe'!$E$2:$E$253,A18)</f>
        <v>5.0</v>
      </c>
      <c r="D18" s="12">
        <f>C18-B18</f>
        <v>0.0</v>
      </c>
      <c r="E18" s="3">
        <f>AVERAGEIFS('Dane źródłowe'!$H$2:$H$253,'Dane źródłowe'!$D$2:$D$253,1,'Dane źródłowe'!$E$2:$E$253,A18)</f>
        <v>5.0</v>
      </c>
      <c r="F18" s="3">
        <f>AVERAGEIFS('Dane źródłowe'!$H$2:$H$253,'Dane źródłowe'!$D$2:$D$253,2,'Dane źródłowe'!$E$2:$E$253,A18)</f>
        <v>5.0</v>
      </c>
      <c r="G18" s="0" t="str">
        <f>IF(B18&lt;C18,"1 zdjęcie",IF(C18&lt;B18,"2 zdjęcia","Tak samo"))</f>
        <v>Tak samo</v>
      </c>
    </row>
    <row r="19">
      <c r="A19" s="0" t="inlineStr">
        <is>
          <t>Długość pleców</t>
        </is>
      </c>
      <c r="B19" s="2">
        <f>AVERAGEIFS('Dane źródłowe'!$I$2:$I$253,'Dane źródłowe'!$D$2:$D$253,1,'Dane źródłowe'!$E$2:$E$253,A19)</f>
        <v>1.5</v>
      </c>
      <c r="C19" s="2">
        <f>AVERAGEIFS('Dane źródłowe'!$I$2:$I$253,'Dane źródłowe'!$D$2:$D$253,2,'Dane źródłowe'!$E$2:$E$253,A19)</f>
        <v>1.5</v>
      </c>
      <c r="D19" s="12">
        <f>C19-B19</f>
        <v>0.0</v>
      </c>
      <c r="E19" s="3">
        <f>AVERAGEIFS('Dane źródłowe'!$H$2:$H$253,'Dane źródłowe'!$D$2:$D$253,1,'Dane źródłowe'!$E$2:$E$253,A19)</f>
        <v>1.5</v>
      </c>
      <c r="F19" s="3">
        <f>AVERAGEIFS('Dane źródłowe'!$H$2:$H$253,'Dane źródłowe'!$D$2:$D$253,2,'Dane źródłowe'!$E$2:$E$253,A19)</f>
        <v>1.5</v>
      </c>
      <c r="G19" s="0" t="str">
        <f>IF(B19&lt;C19,"1 zdjęcie",IF(C19&lt;B19,"2 zdjęcia","Tak samo"))</f>
        <v>Tak samo</v>
      </c>
    </row>
    <row r="20">
      <c r="A20" s="0" t="inlineStr">
        <is>
          <t>Długość pleców do bioder</t>
        </is>
      </c>
      <c r="B20" s="2">
        <f>AVERAGEIFS('Dane źródłowe'!$I$2:$I$253,'Dane źródłowe'!$D$2:$D$253,1,'Dane źródłowe'!$E$2:$E$253,A20)</f>
        <v>10.0</v>
      </c>
      <c r="C20" s="2">
        <f>AVERAGEIFS('Dane źródłowe'!$I$2:$I$253,'Dane źródłowe'!$D$2:$D$253,2,'Dane źródłowe'!$E$2:$E$253,A20)</f>
        <v>10.0</v>
      </c>
      <c r="D20" s="12">
        <f>C20-B20</f>
        <v>0.0</v>
      </c>
      <c r="E20" s="3">
        <f>AVERAGEIFS('Dane źródłowe'!$H$2:$H$253,'Dane źródłowe'!$D$2:$D$253,1,'Dane źródłowe'!$E$2:$E$253,A20)</f>
        <v>10.0</v>
      </c>
      <c r="F20" s="3">
        <f>AVERAGEIFS('Dane źródłowe'!$H$2:$H$253,'Dane źródłowe'!$D$2:$D$253,2,'Dane źródłowe'!$E$2:$E$253,A20)</f>
        <v>10.0</v>
      </c>
      <c r="G20" s="0" t="str">
        <f>IF(B20&lt;C20,"1 zdjęcie",IF(C20&lt;B20,"2 zdjęcia","Tak samo"))</f>
        <v>Tak samo</v>
      </c>
    </row>
    <row r="21">
      <c r="A21" s="0" t="inlineStr">
        <is>
          <t>Obwód talii</t>
        </is>
      </c>
      <c r="B21" s="2">
        <f>AVERAGEIFS('Dane źródłowe'!$I$2:$I$253,'Dane źródłowe'!$D$2:$D$253,1,'Dane źródłowe'!$E$2:$E$253,A21)</f>
        <v>19.0</v>
      </c>
      <c r="C21" s="2">
        <f>AVERAGEIFS('Dane źródłowe'!$I$2:$I$253,'Dane źródłowe'!$D$2:$D$253,2,'Dane źródłowe'!$E$2:$E$253,A21)</f>
        <v>21.833333333333332</v>
      </c>
      <c r="D21" s="12">
        <f>C21-B21</f>
        <v>2.833333333333332</v>
      </c>
      <c r="E21" s="3">
        <f>AVERAGEIFS('Dane źródłowe'!$H$2:$H$253,'Dane źródłowe'!$D$2:$D$253,1,'Dane źródłowe'!$E$2:$E$253,A21)</f>
        <v>19.0</v>
      </c>
      <c r="F21" s="3">
        <f>AVERAGEIFS('Dane źródłowe'!$H$2:$H$253,'Dane źródłowe'!$D$2:$D$253,2,'Dane źródłowe'!$E$2:$E$253,A21)</f>
        <v>21.833333333333332</v>
      </c>
      <c r="G21" s="0" t="str">
        <f>IF(B21&lt;C21,"1 zdjęcie",IF(C21&lt;B21,"2 zdjęcia","Tak samo"))</f>
        <v>1 zdjęcie</v>
      </c>
    </row>
    <row r="22">
      <c r="A22" s="0" t="inlineStr">
        <is>
          <t>Obwód bioder</t>
        </is>
      </c>
      <c r="B22" s="2">
        <f>AVERAGEIFS('Dane źródłowe'!$I$2:$I$253,'Dane źródłowe'!$D$2:$D$253,1,'Dane źródłowe'!$E$2:$E$253,A22)</f>
        <v>25.166666666666668</v>
      </c>
      <c r="C22" s="2">
        <f>AVERAGEIFS('Dane źródłowe'!$I$2:$I$253,'Dane źródłowe'!$D$2:$D$253,2,'Dane źródłowe'!$E$2:$E$253,A22)</f>
        <v>23.333333333333332</v>
      </c>
      <c r="D22" s="12">
        <f>C22-B22</f>
        <v>-1.8333333333333357</v>
      </c>
      <c r="E22" s="3">
        <f>AVERAGEIFS('Dane źródłowe'!$H$2:$H$253,'Dane źródłowe'!$D$2:$D$253,1,'Dane źródłowe'!$E$2:$E$253,A22)</f>
        <v>25.166666666666668</v>
      </c>
      <c r="F22" s="3">
        <f>AVERAGEIFS('Dane źródłowe'!$H$2:$H$253,'Dane źródłowe'!$D$2:$D$253,2,'Dane źródłowe'!$E$2:$E$253,A22)</f>
        <v>23.333333333333332</v>
      </c>
      <c r="G22" s="0" t="str">
        <f>IF(B22&lt;C22,"1 zdjęcie",IF(C22&lt;B22,"2 zdjęcia","Tak samo"))</f>
        <v>2 zdjęcia</v>
      </c>
    </row>
    <row r="23">
      <c r="A23" s="0" t="inlineStr">
        <is>
          <t>Wysokość stanu</t>
        </is>
      </c>
      <c r="B23" s="2">
        <f>AVERAGEIFS('Dane źródłowe'!$I$2:$I$253,'Dane źródłowe'!$D$2:$D$253,1,'Dane źródłowe'!$E$2:$E$253,A23)</f>
        <v>18.0</v>
      </c>
      <c r="C23" s="2">
        <f>AVERAGEIFS('Dane źródłowe'!$I$2:$I$253,'Dane źródłowe'!$D$2:$D$253,2,'Dane źródłowe'!$E$2:$E$253,A23)</f>
        <v>19.0</v>
      </c>
      <c r="D23" s="12">
        <f>C23-B23</f>
        <v>1.0</v>
      </c>
      <c r="E23" s="3">
        <f>AVERAGEIFS('Dane źródłowe'!$H$2:$H$253,'Dane źródłowe'!$D$2:$D$253,1,'Dane źródłowe'!$E$2:$E$253,A23)</f>
        <v>18.0</v>
      </c>
      <c r="F23" s="3">
        <f>AVERAGEIFS('Dane źródłowe'!$H$2:$H$253,'Dane źródłowe'!$D$2:$D$253,2,'Dane źródłowe'!$E$2:$E$253,A23)</f>
        <v>19.0</v>
      </c>
      <c r="G23" s="0" t="str">
        <f>IF(B23&lt;C23,"1 zdjęcie",IF(C23&lt;B23,"2 zdjęcia","Tak samo"))</f>
        <v>1 zdjęcie</v>
      </c>
    </row>
    <row r="24">
      <c r="A24" s="0" t="inlineStr">
        <is>
          <t>Obwód uda</t>
        </is>
      </c>
      <c r="B24" s="2">
        <f>AVERAGEIFS('Dane źródłowe'!$I$2:$I$253,'Dane źródłowe'!$D$2:$D$253,1,'Dane źródłowe'!$E$2:$E$253,A24)</f>
        <v>8.166666666666666</v>
      </c>
      <c r="C24" s="2">
        <f>AVERAGEIFS('Dane źródłowe'!$I$2:$I$253,'Dane źródłowe'!$D$2:$D$253,2,'Dane źródłowe'!$E$2:$E$253,A24)</f>
        <v>15.833333333333334</v>
      </c>
      <c r="D24" s="12">
        <f>C24-B24</f>
        <v>7.666666666666668</v>
      </c>
      <c r="E24" s="3">
        <f>AVERAGEIFS('Dane źródłowe'!$H$2:$H$253,'Dane źródłowe'!$D$2:$D$253,1,'Dane źródłowe'!$E$2:$E$253,A24)</f>
        <v>5.166666666666667</v>
      </c>
      <c r="F24" s="3">
        <f>AVERAGEIFS('Dane źródłowe'!$H$2:$H$253,'Dane źródłowe'!$D$2:$D$253,2,'Dane źródłowe'!$E$2:$E$253,A24)</f>
        <v>12.833333333333334</v>
      </c>
      <c r="G24" s="0" t="str">
        <f>IF(B24&lt;C24,"1 zdjęcie",IF(C24&lt;B24,"2 zdjęcia","Tak samo"))</f>
        <v>1 zdjęcie</v>
      </c>
    </row>
    <row r="25">
      <c r="A25" s="0" t="inlineStr">
        <is>
          <t>Długość nogawki po wewnętrznej</t>
        </is>
      </c>
      <c r="B25" s="2">
        <f>AVERAGEIFS('Dane źródłowe'!$I$2:$I$253,'Dane źródłowe'!$D$2:$D$253,1,'Dane źródłowe'!$E$2:$E$253,A25)</f>
        <v>8.0</v>
      </c>
      <c r="C25" s="2">
        <f>AVERAGEIFS('Dane źródłowe'!$I$2:$I$253,'Dane źródłowe'!$D$2:$D$253,2,'Dane źródłowe'!$E$2:$E$253,A25)</f>
        <v>8.0</v>
      </c>
      <c r="D25" s="12">
        <f>C25-B25</f>
        <v>0.0</v>
      </c>
      <c r="E25" s="3">
        <f>AVERAGEIFS('Dane źródłowe'!$H$2:$H$253,'Dane źródłowe'!$D$2:$D$253,1,'Dane źródłowe'!$E$2:$E$253,A25)</f>
        <v>-3.3333333333333335</v>
      </c>
      <c r="F25" s="3">
        <f>AVERAGEIFS('Dane źródłowe'!$H$2:$H$253,'Dane źródłowe'!$D$2:$D$253,2,'Dane źródłowe'!$E$2:$E$253,A25)</f>
        <v>-4.0</v>
      </c>
      <c r="G25" s="0" t="str">
        <f>IF(B25&lt;C25,"1 zdjęcie",IF(C25&lt;B25,"2 zdjęcia","Tak samo"))</f>
        <v>Tak samo</v>
      </c>
    </row>
    <row r="26">
      <c r="A26" s="0" t="inlineStr">
        <is>
          <t>Obwód kolana</t>
        </is>
      </c>
      <c r="B26" s="2">
        <f>AVERAGEIFS('Dane źródłowe'!$I$2:$I$253,'Dane źródłowe'!$D$2:$D$253,1,'Dane źródłowe'!$E$2:$E$253,A26)</f>
        <v>16.666666666666668</v>
      </c>
      <c r="C26" s="2">
        <f>AVERAGEIFS('Dane źródłowe'!$I$2:$I$253,'Dane źródłowe'!$D$2:$D$253,2,'Dane źródłowe'!$E$2:$E$253,A26)</f>
        <v>25.5</v>
      </c>
      <c r="D26" s="12">
        <f>C26-B26</f>
        <v>8.833333333333332</v>
      </c>
      <c r="E26" s="3">
        <f>AVERAGEIFS('Dane źródłowe'!$H$2:$H$253,'Dane źródłowe'!$D$2:$D$253,1,'Dane źródłowe'!$E$2:$E$253,A26)</f>
        <v>16.333333333333332</v>
      </c>
      <c r="F26" s="3">
        <f>AVERAGEIFS('Dane źródłowe'!$H$2:$H$253,'Dane źródłowe'!$D$2:$D$253,2,'Dane źródłowe'!$E$2:$E$253,A26)</f>
        <v>25.5</v>
      </c>
      <c r="G26" s="0" t="str">
        <f>IF(B26&lt;C26,"1 zdjęcie",IF(C26&lt;B26,"2 zdjęcia","Tak samo"))</f>
        <v>1 zdjęcie</v>
      </c>
    </row>
    <row r="27">
      <c r="A27" s="0" t="inlineStr">
        <is>
          <t>Obwód łydki</t>
        </is>
      </c>
      <c r="B27" s="2">
        <f>AVERAGEIFS('Dane źródłowe'!$I$2:$I$253,'Dane źródłowe'!$D$2:$D$253,1,'Dane źródłowe'!$E$2:$E$253,A27)</f>
        <v>10.0</v>
      </c>
      <c r="C27" s="2">
        <f>AVERAGEIFS('Dane źródłowe'!$I$2:$I$253,'Dane źródłowe'!$D$2:$D$253,2,'Dane źródłowe'!$E$2:$E$253,A27)</f>
        <v>8.833333333333334</v>
      </c>
      <c r="D27" s="12">
        <f>C27-B27</f>
        <v>-1.166666666666666</v>
      </c>
      <c r="E27" s="3">
        <f>AVERAGEIFS('Dane źródłowe'!$H$2:$H$253,'Dane źródłowe'!$D$2:$D$253,1,'Dane źródłowe'!$E$2:$E$253,A27)</f>
        <v>-6.666666666666667</v>
      </c>
      <c r="F27" s="3">
        <f>AVERAGEIFS('Dane źródłowe'!$H$2:$H$253,'Dane źródłowe'!$D$2:$D$253,2,'Dane źródłowe'!$E$2:$E$253,A27)</f>
        <v>7.833333333333333</v>
      </c>
      <c r="G27" s="0" t="str">
        <f>IF(B27&lt;C27,"1 zdjęcie",IF(C27&lt;B27,"2 zdjęcia","Tak samo"))</f>
        <v>2 zdjęcia</v>
      </c>
    </row>
    <row r="28">
      <c r="A28" s="0" t="inlineStr">
        <is>
          <t>Obwód kostki</t>
        </is>
      </c>
      <c r="B28" s="2">
        <f>AVERAGEIFS('Dane źródłowe'!$I$2:$I$253,'Dane źródłowe'!$D$2:$D$253,1,'Dane źródłowe'!$E$2:$E$253,A28)</f>
        <v>10.333333333333334</v>
      </c>
      <c r="C28" s="2">
        <f>AVERAGEIFS('Dane źródłowe'!$I$2:$I$253,'Dane źródłowe'!$D$2:$D$253,2,'Dane źródłowe'!$E$2:$E$253,A28)</f>
        <v>9.833333333333334</v>
      </c>
      <c r="D28" s="12">
        <f>C28-B28</f>
        <v>-0.5</v>
      </c>
      <c r="E28" s="3">
        <f>AVERAGEIFS('Dane źródłowe'!$H$2:$H$253,'Dane źródłowe'!$D$2:$D$253,1,'Dane źródłowe'!$E$2:$E$253,A28)</f>
        <v>-0.6666666666666666</v>
      </c>
      <c r="F28" s="3">
        <f>AVERAGEIFS('Dane źródłowe'!$H$2:$H$253,'Dane źródłowe'!$D$2:$D$253,2,'Dane źródłowe'!$E$2:$E$253,A28)</f>
        <v>9.833333333333334</v>
      </c>
      <c r="G28" s="0" t="str">
        <f>IF(B28&lt;C28,"1 zdjęcie",IF(C28&lt;B28,"2 zdjęcia","Tak samo"))</f>
        <v>2 zdjęcia</v>
      </c>
    </row>
    <row r="29"/>
    <row r="30">
      <c r="A30" s="8" t="inlineStr">
        <is>
          <t>Łącznie (dostępne pozycje)</t>
        </is>
      </c>
      <c r="B30" s="7">
        <v>8.772277227722773</v>
      </c>
      <c r="C30" s="7">
        <v>9.663366336633663</v>
      </c>
      <c r="D30" s="12">
        <v>0.8910891089108901</v>
      </c>
      <c r="E30" s="7">
        <v>4.98019801980198</v>
      </c>
      <c r="F30" s="7">
        <v>8.237623762376238</v>
      </c>
      <c r="G30" s="8" t="inlineStr">
        <is>
          <t>1 zdjęcie</t>
        </is>
      </c>
    </row>
    <row r="31" ht="28" customHeight="1">
      <c r="A31" s="6" t="inlineStr">
        <is>
          <t>Łączny wynik uśrednia 101 dostępnych pozycji na wariant; nie jest średnią z 21 średnich w tabeli.</t>
        </is>
      </c>
    </row>
    <row r="32" ht="28" customHeight="1">
      <c r="A32" s="6" t="inlineStr">
        <is>
          <t>Plus w różnicy ze znakiem = zawyżenie, minus = zaniżenie. Pomiary klatki i biustu pozostawiono jako odrębne pozycje.</t>
        </is>
      </c>
    </row>
  </sheetData>
  <autoFilter ref="A7:G28"/>
  <mergeCells count="7">
    <mergeCell ref="A1:G1"/>
    <mergeCell ref="A2:G2"/>
    <mergeCell ref="A3:G3"/>
    <mergeCell ref="A4:G4"/>
    <mergeCell ref="A5:G5"/>
    <mergeCell ref="A31:G31"/>
    <mergeCell ref="A32:G32"/>
  </mergeCells>
  <conditionalFormatting sqref="D8:D28">
    <cfRule type="cellIs" dxfId="0" priority="1" operator="lessThan">
      <formula>0</formula>
    </cfRule>
    <cfRule type="cellIs" dxfId="1" priority="2" operator="greaterThan">
      <formula>0</formula>
    </cfRule>
  </conditionalFormatting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dimension ref="A1:F5"/>
  <sheetViews>
    <sheetView workbookViewId="0" showGridLines="0">
      <pane ySplit="1" topLeftCell="A2" activePane="bottomLeft" state="frozen"/>
    </sheetView>
  </sheetViews>
  <sheetFormatPr defaultRowHeight="22"/>
  <cols>
    <col min="1" max="1" width="12" customWidth="1"/>
    <col min="2" max="2" width="27" customWidth="1"/>
    <col min="3" max="3" width="27" customWidth="1"/>
    <col min="4" max="4" width="27" customWidth="1"/>
    <col min="5" max="5" width="27" customWidth="1"/>
    <col min="6" max="6" width="27" customWidth="1"/>
  </cols>
  <sheetData>
    <row r="1" ht="76" customHeight="1">
      <c r="A1" s="1" t="inlineStr">
        <is>
          <t>Osoba</t>
        </is>
      </c>
      <c r="B1" s="11" t="inlineStr">
        <is>
          <t>Liczba prób
1 zdjęcie</t>
        </is>
      </c>
      <c r="C1" s="11" t="inlineStr">
        <is>
          <t>Liczba prób
2 zdjęcia</t>
        </is>
      </c>
      <c r="D1" s="11" t="inlineStr">
        <is>
          <t>Średnio o ile Siz3r się myli [cm]
1 zdjęcie</t>
        </is>
      </c>
      <c r="E1" s="11" t="inlineStr">
        <is>
          <t>Średnio o ile Siz3r się myli [cm]
2 zdjęcia</t>
        </is>
      </c>
      <c r="F1" s="11" t="inlineStr">
        <is>
          <t>Co daje 2. zdjęcie?
Lepiej / gorzej</t>
        </is>
      </c>
    </row>
    <row r="2">
      <c r="A2" s="0" t="inlineStr">
        <is>
          <t>BB</t>
        </is>
      </c>
      <c r="B2" s="4">
        <v>1</v>
      </c>
      <c r="C2" s="4">
        <v>1</v>
      </c>
      <c r="D2" s="2">
        <v>5.823529411764706</v>
      </c>
      <c r="E2" s="2">
        <v>8.647058823529411</v>
      </c>
      <c r="F2" s="12">
        <v>2.8235294117647056</v>
      </c>
    </row>
    <row r="3">
      <c r="A3" s="0" t="inlineStr">
        <is>
          <t>JB</t>
        </is>
      </c>
      <c r="B3" s="4">
        <v>2</v>
      </c>
      <c r="C3" s="4">
        <v>2</v>
      </c>
      <c r="D3" s="2">
        <v>11.166666666666666</v>
      </c>
      <c r="E3" s="2">
        <v>11.642857142857142</v>
      </c>
      <c r="F3" s="12">
        <v>0.4761904761904763</v>
      </c>
    </row>
    <row r="4">
      <c r="A4" s="0" t="inlineStr">
        <is>
          <t>PF</t>
        </is>
      </c>
      <c r="B4" s="4">
        <v>2</v>
      </c>
      <c r="C4" s="4">
        <v>2</v>
      </c>
      <c r="D4" s="2">
        <v>6.961538461538462</v>
      </c>
      <c r="E4" s="2">
        <v>7.576923076923077</v>
      </c>
      <c r="F4" s="12">
        <v>0.615384615384615</v>
      </c>
    </row>
    <row r="5">
      <c r="A5" s="0" t="inlineStr">
        <is>
          <t>RF</t>
        </is>
      </c>
      <c r="B5" s="4">
        <v>1</v>
      </c>
      <c r="C5" s="4">
        <v>1</v>
      </c>
      <c r="D5" s="2">
        <v>8.5625</v>
      </c>
      <c r="E5" s="2">
        <v>8.9375</v>
      </c>
      <c r="F5" s="12">
        <v>0.375</v>
      </c>
    </row>
  </sheetData>
  <autoFilter ref="A1:F5"/>
  <conditionalFormatting sqref="F2:F5">
    <cfRule type="cellIs" dxfId="0" priority="1" operator="lessThan">
      <formula>0</formula>
    </cfRule>
    <cfRule type="cellIs" dxfId="1" priority="2" operator="greaterThan">
      <formula>0</formula>
    </cfRule>
  </conditionalFormatting>
  <pageMargins left="0.3" right="0.3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>
  <dimension ref="A1:G13"/>
  <sheetViews>
    <sheetView workbookViewId="0" showGridLines="0">
      <pane ySplit="1" topLeftCell="A2" activePane="bottomLeft" state="frozen"/>
    </sheetView>
  </sheetViews>
  <sheetFormatPr defaultRowHeight="22"/>
  <cols>
    <col min="1" max="1" width="25" customWidth="1"/>
    <col min="2" max="2" width="12" customWidth="1"/>
    <col min="3" max="3" width="16" customWidth="1"/>
    <col min="4" max="4" width="12" customWidth="1"/>
    <col min="5" max="5" width="27" customWidth="1"/>
    <col min="6" max="6" width="27" customWidth="1"/>
    <col min="7" max="7" width="27" customWidth="1"/>
  </cols>
  <sheetData>
    <row r="1" ht="76" customHeight="1">
      <c r="A1" s="1" t="inlineStr">
        <is>
          <t>Plik</t>
        </is>
      </c>
      <c r="B1" s="1" t="inlineStr">
        <is>
          <t>Osoba</t>
        </is>
      </c>
      <c r="C1" s="11" t="inlineStr">
        <is>
          <t>Liczba zdjęć</t>
        </is>
      </c>
      <c r="D1" s="11" t="inlineStr">
        <is>
          <t>Numer próby</t>
        </is>
      </c>
      <c r="E1" s="11" t="inlineStr">
        <is>
          <t>Brakujące rzeczywiste pomiary</t>
        </is>
      </c>
      <c r="F1" s="11" t="inlineStr">
        <is>
          <t>Średnio o ile Siz3r się myli [cm]</t>
        </is>
      </c>
      <c r="G1" s="11" t="inlineStr">
        <is>
          <t>Średnie zawyżenie lub zaniżenie [cm]</t>
        </is>
      </c>
    </row>
    <row r="2">
      <c r="A2" s="0" t="inlineStr">
        <is>
          <t>BB-1photo-1.pdf</t>
        </is>
      </c>
      <c r="B2" s="0" t="inlineStr">
        <is>
          <t>BB</t>
        </is>
      </c>
      <c r="C2" s="4">
        <v>1</v>
      </c>
      <c r="D2" s="4">
        <v>1</v>
      </c>
      <c r="E2" s="4">
        <v>4</v>
      </c>
      <c r="F2" s="2">
        <v>5.823529411764706</v>
      </c>
      <c r="G2" s="3">
        <v>3.235294117647059</v>
      </c>
    </row>
    <row r="3">
      <c r="A3" s="0" t="inlineStr">
        <is>
          <t>BB-2photos-1.pdf</t>
        </is>
      </c>
      <c r="B3" s="0" t="inlineStr">
        <is>
          <t>BB</t>
        </is>
      </c>
      <c r="C3" s="4">
        <v>2</v>
      </c>
      <c r="D3" s="4">
        <v>1</v>
      </c>
      <c r="E3" s="4">
        <v>4</v>
      </c>
      <c r="F3" s="2">
        <v>8.647058823529411</v>
      </c>
      <c r="G3" s="3">
        <v>6.529411764705882</v>
      </c>
    </row>
    <row r="4">
      <c r="A4" s="0" t="inlineStr">
        <is>
          <t>JB-1photo-1.pdf</t>
        </is>
      </c>
      <c r="B4" s="0" t="inlineStr">
        <is>
          <t>JB</t>
        </is>
      </c>
      <c r="C4" s="4">
        <v>1</v>
      </c>
      <c r="D4" s="4">
        <v>1</v>
      </c>
      <c r="E4" s="4">
        <v>0</v>
      </c>
      <c r="F4" s="2">
        <v>10.5</v>
      </c>
      <c r="G4" s="3">
        <v>7.404761904761905</v>
      </c>
    </row>
    <row r="5">
      <c r="A5" s="0" t="inlineStr">
        <is>
          <t>JB-1photo-2.pdf</t>
        </is>
      </c>
      <c r="B5" s="0" t="inlineStr">
        <is>
          <t>JB</t>
        </is>
      </c>
      <c r="C5" s="4">
        <v>1</v>
      </c>
      <c r="D5" s="4">
        <v>2</v>
      </c>
      <c r="E5" s="4">
        <v>0</v>
      </c>
      <c r="F5" s="2">
        <v>11.833333333333334</v>
      </c>
      <c r="G5" s="3">
        <v>7.357142857142857</v>
      </c>
    </row>
    <row r="6">
      <c r="A6" s="0" t="inlineStr">
        <is>
          <t>JB-2photos-1.pdf</t>
        </is>
      </c>
      <c r="B6" s="0" t="inlineStr">
        <is>
          <t>JB</t>
        </is>
      </c>
      <c r="C6" s="4">
        <v>2</v>
      </c>
      <c r="D6" s="4">
        <v>1</v>
      </c>
      <c r="E6" s="4">
        <v>0</v>
      </c>
      <c r="F6" s="2">
        <v>11.452380952380953</v>
      </c>
      <c r="G6" s="3">
        <v>11.30952380952381</v>
      </c>
    </row>
    <row r="7">
      <c r="A7" s="0" t="inlineStr">
        <is>
          <t>JB-2photos-2.pdf</t>
        </is>
      </c>
      <c r="B7" s="0" t="inlineStr">
        <is>
          <t>JB</t>
        </is>
      </c>
      <c r="C7" s="4">
        <v>2</v>
      </c>
      <c r="D7" s="4">
        <v>2</v>
      </c>
      <c r="E7" s="4">
        <v>0</v>
      </c>
      <c r="F7" s="2">
        <v>11.833333333333334</v>
      </c>
      <c r="G7" s="3">
        <v>11.785714285714286</v>
      </c>
    </row>
    <row r="8">
      <c r="A8" s="0" t="inlineStr">
        <is>
          <t>PF-1photo-1.pdf</t>
        </is>
      </c>
      <c r="B8" s="0" t="inlineStr">
        <is>
          <t>PF</t>
        </is>
      </c>
      <c r="C8" s="4">
        <v>1</v>
      </c>
      <c r="D8" s="4">
        <v>1</v>
      </c>
      <c r="E8" s="4">
        <v>8</v>
      </c>
      <c r="F8" s="2">
        <v>6.384615384615385</v>
      </c>
      <c r="G8" s="3">
        <v>-1.6153846153846154</v>
      </c>
    </row>
    <row r="9">
      <c r="A9" s="0" t="inlineStr">
        <is>
          <t>PF-1photo-2.pdf</t>
        </is>
      </c>
      <c r="B9" s="0" t="inlineStr">
        <is>
          <t>PF</t>
        </is>
      </c>
      <c r="C9" s="4">
        <v>1</v>
      </c>
      <c r="D9" s="4">
        <v>2</v>
      </c>
      <c r="E9" s="4">
        <v>8</v>
      </c>
      <c r="F9" s="2">
        <v>7.538461538461538</v>
      </c>
      <c r="G9" s="3">
        <v>4.3076923076923075</v>
      </c>
    </row>
    <row r="10">
      <c r="A10" s="0" t="inlineStr">
        <is>
          <t>PF-2photos-1.pdf</t>
        </is>
      </c>
      <c r="B10" s="0" t="inlineStr">
        <is>
          <t>PF</t>
        </is>
      </c>
      <c r="C10" s="4">
        <v>2</v>
      </c>
      <c r="D10" s="4">
        <v>1</v>
      </c>
      <c r="E10" s="4">
        <v>8</v>
      </c>
      <c r="F10" s="2">
        <v>7.230769230769231</v>
      </c>
      <c r="G10" s="3">
        <v>3.076923076923077</v>
      </c>
    </row>
    <row r="11">
      <c r="A11" s="0" t="inlineStr">
        <is>
          <t>PF-2photos-2.pdf</t>
        </is>
      </c>
      <c r="B11" s="0" t="inlineStr">
        <is>
          <t>PF</t>
        </is>
      </c>
      <c r="C11" s="4">
        <v>2</v>
      </c>
      <c r="D11" s="4">
        <v>2</v>
      </c>
      <c r="E11" s="4">
        <v>8</v>
      </c>
      <c r="F11" s="2">
        <v>7.923076923076923</v>
      </c>
      <c r="G11" s="3">
        <v>6.384615384615385</v>
      </c>
    </row>
    <row r="12">
      <c r="A12" s="0" t="inlineStr">
        <is>
          <t>RF-1photo-1.pdf</t>
        </is>
      </c>
      <c r="B12" s="0" t="inlineStr">
        <is>
          <t>RF</t>
        </is>
      </c>
      <c r="C12" s="4">
        <v>1</v>
      </c>
      <c r="D12" s="4">
        <v>1</v>
      </c>
      <c r="E12" s="4">
        <v>5</v>
      </c>
      <c r="F12" s="2">
        <v>8.5625</v>
      </c>
      <c r="G12" s="3">
        <v>6.4375</v>
      </c>
    </row>
    <row r="13">
      <c r="A13" s="0" t="inlineStr">
        <is>
          <t>RF-2photos-1.pdf</t>
        </is>
      </c>
      <c r="B13" s="0" t="inlineStr">
        <is>
          <t>RF</t>
        </is>
      </c>
      <c r="C13" s="4">
        <v>2</v>
      </c>
      <c r="D13" s="4">
        <v>1</v>
      </c>
      <c r="E13" s="4">
        <v>5</v>
      </c>
      <c r="F13" s="2">
        <v>8.9375</v>
      </c>
      <c r="G13" s="3">
        <v>7.0625</v>
      </c>
    </row>
  </sheetData>
  <autoFilter ref="A1:G13"/>
  <pageMargins left="0.3" right="0.3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>
  <dimension ref="A1:G85"/>
  <sheetViews>
    <sheetView workbookViewId="0" showGridLines="0">
      <pane ySplit="1" topLeftCell="A2" activePane="bottomLeft" state="frozen"/>
    </sheetView>
  </sheetViews>
  <sheetFormatPr defaultRowHeight="22"/>
  <cols>
    <col min="1" max="1" width="12" customWidth="1"/>
    <col min="2" max="2" width="42" customWidth="1"/>
    <col min="3" max="3" width="27" customWidth="1"/>
    <col min="4" max="4" width="27" customWidth="1"/>
    <col min="5" max="5" width="27" customWidth="1"/>
    <col min="6" max="6" width="27" customWidth="1"/>
    <col min="7" max="7" width="27" customWidth="1"/>
  </cols>
  <sheetData>
    <row r="1" ht="76" customHeight="1">
      <c r="A1" s="1" t="inlineStr">
        <is>
          <t>Osoba</t>
        </is>
      </c>
      <c r="B1" s="1" t="inlineStr">
        <is>
          <t>Mierzony wymiar</t>
        </is>
      </c>
      <c r="C1" s="11" t="inlineStr">
        <is>
          <t>Średnio o ile Siz3r się myli [cm]
1 zdjęcie</t>
        </is>
      </c>
      <c r="D1" s="11" t="inlineStr">
        <is>
          <t>Średnio o ile Siz3r się myli [cm]
2 zdjęcia</t>
        </is>
      </c>
      <c r="E1" s="11" t="inlineStr">
        <is>
          <t>Co daje 2. zdjęcie?
Lepiej / gorzej</t>
        </is>
      </c>
      <c r="F1" s="11" t="inlineStr">
        <is>
          <t>Średnie zawyżenie lub zaniżenie [cm]
1 zdjęcie</t>
        </is>
      </c>
      <c r="G1" s="11" t="inlineStr">
        <is>
          <t>Średnie zawyżenie lub zaniżenie [cm]
2 zdjęcia</t>
        </is>
      </c>
    </row>
    <row r="2">
      <c r="A2" s="0" t="inlineStr">
        <is>
          <t>BB</t>
        </is>
      </c>
      <c r="B2" s="0" t="inlineStr">
        <is>
          <t>Wzrost</t>
        </is>
      </c>
      <c r="C2" s="2">
        <v>0.0</v>
      </c>
      <c r="D2" s="2">
        <v>0.0</v>
      </c>
      <c r="E2" s="12">
        <v>0.0</v>
      </c>
      <c r="F2" s="3">
        <v>0.0</v>
      </c>
      <c r="G2" s="3">
        <v>0.0</v>
      </c>
    </row>
    <row r="3">
      <c r="A3" s="0" t="inlineStr">
        <is>
          <t>BB</t>
        </is>
      </c>
      <c r="B3" s="0" t="inlineStr">
        <is>
          <t>Obwód szyi</t>
        </is>
      </c>
      <c r="C3" s="2">
        <v>8.0</v>
      </c>
      <c r="D3" s="2">
        <v>7.0</v>
      </c>
      <c r="E3" s="12">
        <v>-1.0</v>
      </c>
      <c r="F3" s="3">
        <v>8.0</v>
      </c>
      <c r="G3" s="3">
        <v>7.0</v>
      </c>
    </row>
    <row r="4">
      <c r="A4" s="0" t="inlineStr">
        <is>
          <t>BB</t>
        </is>
      </c>
      <c r="B4" s="0" t="inlineStr">
        <is>
          <t>Szerokość ramion</t>
        </is>
      </c>
      <c r="C4" s="2">
        <v>2.0</v>
      </c>
      <c r="D4" s="2">
        <v>1.0</v>
      </c>
      <c r="E4" s="12">
        <v>-1.0</v>
      </c>
      <c r="F4" s="3">
        <v>2.0</v>
      </c>
      <c r="G4" s="3">
        <v>1.0</v>
      </c>
    </row>
    <row r="5">
      <c r="A5" s="0" t="inlineStr">
        <is>
          <t>BB</t>
        </is>
      </c>
      <c r="B5" s="0" t="inlineStr">
        <is>
          <t>Obwód klatki piersiowej</t>
        </is>
      </c>
      <c r="C5" s="2">
        <v>4.0</v>
      </c>
      <c r="D5" s="2">
        <v>7.0</v>
      </c>
      <c r="E5" s="12">
        <v>3.0</v>
      </c>
      <c r="F5" s="3">
        <v>4.0</v>
      </c>
      <c r="G5" s="3">
        <v>7.0</v>
      </c>
    </row>
    <row r="6">
      <c r="A6" s="0" t="inlineStr">
        <is>
          <t>BB</t>
        </is>
      </c>
      <c r="B6" s="0" t="inlineStr">
        <is>
          <t>Obwód biustu</t>
        </is>
      </c>
      <c r="C6" s="2">
        <v>4.0</v>
      </c>
      <c r="D6" s="2">
        <v>7.0</v>
      </c>
      <c r="E6" s="12">
        <v>3.0</v>
      </c>
      <c r="F6" s="3">
        <v>4.0</v>
      </c>
      <c r="G6" s="3">
        <v>7.0</v>
      </c>
    </row>
    <row r="7">
      <c r="A7" s="0" t="inlineStr">
        <is>
          <t>BB</t>
        </is>
      </c>
      <c r="B7" s="0" t="inlineStr">
        <is>
          <t>Obwód pod biustem</t>
        </is>
      </c>
      <c r="C7" s="2">
        <v>6.0</v>
      </c>
      <c r="D7" s="2">
        <v>8.0</v>
      </c>
      <c r="E7" s="12">
        <v>2.0</v>
      </c>
      <c r="F7" s="3">
        <v>6.0</v>
      </c>
      <c r="G7" s="3">
        <v>8.0</v>
      </c>
    </row>
    <row r="8">
      <c r="A8" s="0" t="inlineStr">
        <is>
          <t>BB</t>
        </is>
      </c>
      <c r="B8" s="0" t="inlineStr">
        <is>
          <t>Długość ramienia</t>
        </is>
      </c>
      <c r="C8" s="2">
        <v>1.0</v>
      </c>
      <c r="D8" s="2">
        <v>5.0</v>
      </c>
      <c r="E8" s="12">
        <v>4.0</v>
      </c>
      <c r="F8" s="3">
        <v>1.0</v>
      </c>
      <c r="G8" s="3">
        <v>5.0</v>
      </c>
    </row>
    <row r="9">
      <c r="A9" s="0" t="inlineStr">
        <is>
          <t>BB</t>
        </is>
      </c>
      <c r="B9" s="0" t="inlineStr">
        <is>
          <t>Obwód ramienia</t>
        </is>
      </c>
      <c r="C9" s="2">
        <v>5.0</v>
      </c>
      <c r="D9" s="2">
        <v>6.0</v>
      </c>
      <c r="E9" s="12">
        <v>1.0</v>
      </c>
      <c r="F9" s="3">
        <v>5.0</v>
      </c>
      <c r="G9" s="3">
        <v>6.0</v>
      </c>
    </row>
    <row r="10">
      <c r="A10" s="0" t="inlineStr">
        <is>
          <t>BB</t>
        </is>
      </c>
      <c r="B10" s="0" t="inlineStr">
        <is>
          <t>Obwód nadgarstka</t>
        </is>
      </c>
      <c r="C10" s="2">
        <v>4.0</v>
      </c>
      <c r="D10" s="2">
        <v>2.0</v>
      </c>
      <c r="E10" s="12">
        <v>-2.0</v>
      </c>
      <c r="F10" s="3">
        <v>-4.0</v>
      </c>
      <c r="G10" s="3">
        <v>2.0</v>
      </c>
    </row>
    <row r="11">
      <c r="A11" s="0" t="inlineStr">
        <is>
          <t>BB</t>
        </is>
      </c>
      <c r="B11" s="0" t="inlineStr">
        <is>
          <t>Długość tułowia</t>
        </is>
      </c>
    </row>
    <row r="12">
      <c r="A12" s="0" t="inlineStr">
        <is>
          <t>BB</t>
        </is>
      </c>
      <c r="B12" s="0" t="inlineStr">
        <is>
          <t>Długość przodu</t>
        </is>
      </c>
    </row>
    <row r="13">
      <c r="A13" s="0" t="inlineStr">
        <is>
          <t>BB</t>
        </is>
      </c>
      <c r="B13" s="0" t="inlineStr">
        <is>
          <t>Długość pleców</t>
        </is>
      </c>
    </row>
    <row r="14">
      <c r="A14" s="0" t="inlineStr">
        <is>
          <t>BB</t>
        </is>
      </c>
      <c r="B14" s="0" t="inlineStr">
        <is>
          <t>Długość pleców do bioder</t>
        </is>
      </c>
    </row>
    <row r="15">
      <c r="A15" s="0" t="inlineStr">
        <is>
          <t>BB</t>
        </is>
      </c>
      <c r="B15" s="0" t="inlineStr">
        <is>
          <t>Obwód talii</t>
        </is>
      </c>
      <c r="C15" s="2">
        <v>13.0</v>
      </c>
      <c r="D15" s="2">
        <v>23.0</v>
      </c>
      <c r="E15" s="12">
        <v>10.0</v>
      </c>
      <c r="F15" s="3">
        <v>13.0</v>
      </c>
      <c r="G15" s="3">
        <v>23.0</v>
      </c>
    </row>
    <row r="16">
      <c r="A16" s="0" t="inlineStr">
        <is>
          <t>BB</t>
        </is>
      </c>
      <c r="B16" s="0" t="inlineStr">
        <is>
          <t>Obwód bioder</t>
        </is>
      </c>
      <c r="C16" s="2">
        <v>11.0</v>
      </c>
      <c r="D16" s="2">
        <v>18.0</v>
      </c>
      <c r="E16" s="12">
        <v>7.0</v>
      </c>
      <c r="F16" s="3">
        <v>11.0</v>
      </c>
      <c r="G16" s="3">
        <v>18.0</v>
      </c>
    </row>
    <row r="17">
      <c r="A17" s="0" t="inlineStr">
        <is>
          <t>BB</t>
        </is>
      </c>
      <c r="B17" s="0" t="inlineStr">
        <is>
          <t>Wysokość stanu</t>
        </is>
      </c>
      <c r="C17" s="2">
        <v>11.0</v>
      </c>
      <c r="D17" s="2">
        <v>16.0</v>
      </c>
      <c r="E17" s="12">
        <v>5.0</v>
      </c>
      <c r="F17" s="3">
        <v>11.0</v>
      </c>
      <c r="G17" s="3">
        <v>16.0</v>
      </c>
    </row>
    <row r="18">
      <c r="A18" s="0" t="inlineStr">
        <is>
          <t>BB</t>
        </is>
      </c>
      <c r="B18" s="0" t="inlineStr">
        <is>
          <t>Obwód uda</t>
        </is>
      </c>
      <c r="C18" s="2">
        <v>4.0</v>
      </c>
      <c r="D18" s="2">
        <v>4.0</v>
      </c>
      <c r="E18" s="12">
        <v>0.0</v>
      </c>
      <c r="F18" s="3">
        <v>4.0</v>
      </c>
      <c r="G18" s="3">
        <v>4.0</v>
      </c>
    </row>
    <row r="19">
      <c r="A19" s="0" t="inlineStr">
        <is>
          <t>BB</t>
        </is>
      </c>
      <c r="B19" s="0" t="inlineStr">
        <is>
          <t>Długość nogawki po wewnętrznej</t>
        </is>
      </c>
      <c r="C19" s="2">
        <v>17.0</v>
      </c>
      <c r="D19" s="2">
        <v>18.0</v>
      </c>
      <c r="E19" s="12">
        <v>1.0</v>
      </c>
      <c r="F19" s="3">
        <v>-17.0</v>
      </c>
      <c r="G19" s="3">
        <v>-18.0</v>
      </c>
    </row>
    <row r="20">
      <c r="A20" s="0" t="inlineStr">
        <is>
          <t>BB</t>
        </is>
      </c>
      <c r="B20" s="0" t="inlineStr">
        <is>
          <t>Obwód kolana</t>
        </is>
      </c>
      <c r="C20" s="2">
        <v>1.0</v>
      </c>
      <c r="D20" s="2">
        <v>8.0</v>
      </c>
      <c r="E20" s="12">
        <v>7.0</v>
      </c>
      <c r="F20" s="3">
        <v>-1.0</v>
      </c>
      <c r="G20" s="3">
        <v>8.0</v>
      </c>
    </row>
    <row r="21">
      <c r="A21" s="0" t="inlineStr">
        <is>
          <t>BB</t>
        </is>
      </c>
      <c r="B21" s="0" t="inlineStr">
        <is>
          <t>Obwód łydki</t>
        </is>
      </c>
      <c r="C21" s="2">
        <v>0.0</v>
      </c>
      <c r="D21" s="2">
        <v>4.0</v>
      </c>
      <c r="E21" s="12">
        <v>4.0</v>
      </c>
      <c r="F21" s="3">
        <v>0.0</v>
      </c>
      <c r="G21" s="3">
        <v>4.0</v>
      </c>
    </row>
    <row r="22">
      <c r="A22" s="0" t="inlineStr">
        <is>
          <t>BB</t>
        </is>
      </c>
      <c r="B22" s="0" t="inlineStr">
        <is>
          <t>Obwód kostki</t>
        </is>
      </c>
      <c r="C22" s="2">
        <v>8.0</v>
      </c>
      <c r="D22" s="2">
        <v>13.0</v>
      </c>
      <c r="E22" s="12">
        <v>5.0</v>
      </c>
      <c r="F22" s="3">
        <v>8.0</v>
      </c>
      <c r="G22" s="3">
        <v>13.0</v>
      </c>
    </row>
    <row r="23">
      <c r="A23" s="0" t="inlineStr">
        <is>
          <t>JB</t>
        </is>
      </c>
      <c r="B23" s="0" t="inlineStr">
        <is>
          <t>Wzrost</t>
        </is>
      </c>
      <c r="C23" s="2">
        <v>0.0</v>
      </c>
      <c r="D23" s="2">
        <v>0.0</v>
      </c>
      <c r="E23" s="12">
        <v>0.0</v>
      </c>
      <c r="F23" s="3">
        <v>0.0</v>
      </c>
      <c r="G23" s="3">
        <v>0.0</v>
      </c>
    </row>
    <row r="24">
      <c r="A24" s="0" t="inlineStr">
        <is>
          <t>JB</t>
        </is>
      </c>
      <c r="B24" s="0" t="inlineStr">
        <is>
          <t>Obwód szyi</t>
        </is>
      </c>
      <c r="C24" s="2">
        <v>0.5</v>
      </c>
      <c r="D24" s="2">
        <v>0.5</v>
      </c>
      <c r="E24" s="12">
        <v>0.0</v>
      </c>
      <c r="F24" s="3">
        <v>0.0</v>
      </c>
      <c r="G24" s="3">
        <v>-0.5</v>
      </c>
    </row>
    <row r="25">
      <c r="A25" s="0" t="inlineStr">
        <is>
          <t>JB</t>
        </is>
      </c>
      <c r="B25" s="0" t="inlineStr">
        <is>
          <t>Szerokość ramion</t>
        </is>
      </c>
      <c r="C25" s="2">
        <v>2.5</v>
      </c>
      <c r="D25" s="2">
        <v>1.5</v>
      </c>
      <c r="E25" s="12">
        <v>-1.0</v>
      </c>
      <c r="F25" s="3">
        <v>2.5</v>
      </c>
      <c r="G25" s="3">
        <v>1.5</v>
      </c>
    </row>
    <row r="26">
      <c r="A26" s="0" t="inlineStr">
        <is>
          <t>JB</t>
        </is>
      </c>
      <c r="B26" s="0" t="inlineStr">
        <is>
          <t>Obwód klatki piersiowej</t>
        </is>
      </c>
      <c r="C26" s="2">
        <v>4.0</v>
      </c>
      <c r="D26" s="2">
        <v>5.0</v>
      </c>
      <c r="E26" s="12">
        <v>1.0</v>
      </c>
      <c r="F26" s="3">
        <v>4.0</v>
      </c>
      <c r="G26" s="3">
        <v>5.0</v>
      </c>
    </row>
    <row r="27">
      <c r="A27" s="0" t="inlineStr">
        <is>
          <t>JB</t>
        </is>
      </c>
      <c r="B27" s="0" t="inlineStr">
        <is>
          <t>Obwód biustu</t>
        </is>
      </c>
      <c r="C27" s="2">
        <v>4.0</v>
      </c>
      <c r="D27" s="2">
        <v>5.0</v>
      </c>
      <c r="E27" s="12">
        <v>1.0</v>
      </c>
      <c r="F27" s="3">
        <v>4.0</v>
      </c>
      <c r="G27" s="3">
        <v>5.0</v>
      </c>
    </row>
    <row r="28">
      <c r="A28" s="0" t="inlineStr">
        <is>
          <t>JB</t>
        </is>
      </c>
      <c r="B28" s="0" t="inlineStr">
        <is>
          <t>Obwód pod biustem</t>
        </is>
      </c>
      <c r="C28" s="2">
        <v>6.0</v>
      </c>
      <c r="D28" s="2">
        <v>6.5</v>
      </c>
      <c r="E28" s="12">
        <v>0.5</v>
      </c>
      <c r="F28" s="3">
        <v>6.0</v>
      </c>
      <c r="G28" s="3">
        <v>6.5</v>
      </c>
    </row>
    <row r="29">
      <c r="A29" s="0" t="inlineStr">
        <is>
          <t>JB</t>
        </is>
      </c>
      <c r="B29" s="0" t="inlineStr">
        <is>
          <t>Długość ramienia</t>
        </is>
      </c>
      <c r="C29" s="2">
        <v>1.5</v>
      </c>
      <c r="D29" s="2">
        <v>4.5</v>
      </c>
      <c r="E29" s="12">
        <v>3.0</v>
      </c>
      <c r="F29" s="3">
        <v>1.5</v>
      </c>
      <c r="G29" s="3">
        <v>4.5</v>
      </c>
    </row>
    <row r="30">
      <c r="A30" s="0" t="inlineStr">
        <is>
          <t>JB</t>
        </is>
      </c>
      <c r="B30" s="0" t="inlineStr">
        <is>
          <t>Obwód ramienia</t>
        </is>
      </c>
      <c r="C30" s="2">
        <v>8.0</v>
      </c>
      <c r="D30" s="2">
        <v>0.5</v>
      </c>
      <c r="E30" s="12">
        <v>-7.5</v>
      </c>
      <c r="F30" s="3">
        <v>-8.0</v>
      </c>
      <c r="G30" s="3">
        <v>-0.5</v>
      </c>
    </row>
    <row r="31">
      <c r="A31" s="0" t="inlineStr">
        <is>
          <t>JB</t>
        </is>
      </c>
      <c r="B31" s="0" t="inlineStr">
        <is>
          <t>Obwód nadgarstka</t>
        </is>
      </c>
      <c r="C31" s="2">
        <v>3.5</v>
      </c>
      <c r="D31" s="2">
        <v>2.5</v>
      </c>
      <c r="E31" s="12">
        <v>-1.0</v>
      </c>
      <c r="F31" s="3">
        <v>-3.5</v>
      </c>
      <c r="G31" s="3">
        <v>2.5</v>
      </c>
    </row>
    <row r="32">
      <c r="A32" s="0" t="inlineStr">
        <is>
          <t>JB</t>
        </is>
      </c>
      <c r="B32" s="0" t="inlineStr">
        <is>
          <t>Długość tułowia</t>
        </is>
      </c>
      <c r="C32" s="2">
        <v>24.0</v>
      </c>
      <c r="D32" s="2">
        <v>24.0</v>
      </c>
      <c r="E32" s="12">
        <v>0.0</v>
      </c>
      <c r="F32" s="3">
        <v>24.0</v>
      </c>
      <c r="G32" s="3">
        <v>24.0</v>
      </c>
    </row>
    <row r="33">
      <c r="A33" s="0" t="inlineStr">
        <is>
          <t>JB</t>
        </is>
      </c>
      <c r="B33" s="0" t="inlineStr">
        <is>
          <t>Długość przodu</t>
        </is>
      </c>
      <c r="C33" s="2">
        <v>5.0</v>
      </c>
      <c r="D33" s="2">
        <v>5.0</v>
      </c>
      <c r="E33" s="12">
        <v>0.0</v>
      </c>
      <c r="F33" s="3">
        <v>5.0</v>
      </c>
      <c r="G33" s="3">
        <v>5.0</v>
      </c>
    </row>
    <row r="34">
      <c r="A34" s="0" t="inlineStr">
        <is>
          <t>JB</t>
        </is>
      </c>
      <c r="B34" s="0" t="inlineStr">
        <is>
          <t>Długość pleców</t>
        </is>
      </c>
      <c r="C34" s="2">
        <v>1.5</v>
      </c>
      <c r="D34" s="2">
        <v>1.5</v>
      </c>
      <c r="E34" s="12">
        <v>0.0</v>
      </c>
      <c r="F34" s="3">
        <v>1.5</v>
      </c>
      <c r="G34" s="3">
        <v>1.5</v>
      </c>
    </row>
    <row r="35">
      <c r="A35" s="0" t="inlineStr">
        <is>
          <t>JB</t>
        </is>
      </c>
      <c r="B35" s="0" t="inlineStr">
        <is>
          <t>Długość pleców do bioder</t>
        </is>
      </c>
      <c r="C35" s="2">
        <v>10.0</v>
      </c>
      <c r="D35" s="2">
        <v>10.0</v>
      </c>
      <c r="E35" s="12">
        <v>0.0</v>
      </c>
      <c r="F35" s="3">
        <v>10.0</v>
      </c>
      <c r="G35" s="3">
        <v>10.0</v>
      </c>
    </row>
    <row r="36">
      <c r="A36" s="0" t="inlineStr">
        <is>
          <t>JB</t>
        </is>
      </c>
      <c r="B36" s="0" t="inlineStr">
        <is>
          <t>Obwód talii</t>
        </is>
      </c>
      <c r="C36" s="2">
        <v>28.0</v>
      </c>
      <c r="D36" s="2">
        <v>30.0</v>
      </c>
      <c r="E36" s="12">
        <v>2.0</v>
      </c>
      <c r="F36" s="3">
        <v>28.0</v>
      </c>
      <c r="G36" s="3">
        <v>30.0</v>
      </c>
    </row>
    <row r="37">
      <c r="A37" s="0" t="inlineStr">
        <is>
          <t>JB</t>
        </is>
      </c>
      <c r="B37" s="0" t="inlineStr">
        <is>
          <t>Obwód bioder</t>
        </is>
      </c>
      <c r="C37" s="2">
        <v>41.5</v>
      </c>
      <c r="D37" s="2">
        <v>40.5</v>
      </c>
      <c r="E37" s="12">
        <v>-1.0</v>
      </c>
      <c r="F37" s="3">
        <v>41.5</v>
      </c>
      <c r="G37" s="3">
        <v>40.5</v>
      </c>
    </row>
    <row r="38">
      <c r="A38" s="0" t="inlineStr">
        <is>
          <t>JB</t>
        </is>
      </c>
      <c r="B38" s="0" t="inlineStr">
        <is>
          <t>Wysokość stanu</t>
        </is>
      </c>
      <c r="C38" s="2">
        <v>21.5</v>
      </c>
      <c r="D38" s="2">
        <v>20.5</v>
      </c>
      <c r="E38" s="12">
        <v>-1.0</v>
      </c>
      <c r="F38" s="3">
        <v>21.5</v>
      </c>
      <c r="G38" s="3">
        <v>20.5</v>
      </c>
    </row>
    <row r="39">
      <c r="A39" s="0" t="inlineStr">
        <is>
          <t>JB</t>
        </is>
      </c>
      <c r="B39" s="0" t="inlineStr">
        <is>
          <t>Obwód uda</t>
        </is>
      </c>
      <c r="C39" s="2">
        <v>14.0</v>
      </c>
      <c r="D39" s="2">
        <v>28.5</v>
      </c>
      <c r="E39" s="12">
        <v>14.5</v>
      </c>
      <c r="F39" s="3">
        <v>14.0</v>
      </c>
      <c r="G39" s="3">
        <v>28.5</v>
      </c>
    </row>
    <row r="40">
      <c r="A40" s="0" t="inlineStr">
        <is>
          <t>JB</t>
        </is>
      </c>
      <c r="B40" s="0" t="inlineStr">
        <is>
          <t>Długość nogawki po wewnętrznej</t>
        </is>
      </c>
      <c r="C40" s="2">
        <v>3.5</v>
      </c>
      <c r="D40" s="2">
        <v>3.0</v>
      </c>
      <c r="E40" s="12">
        <v>-0.5</v>
      </c>
      <c r="F40" s="3">
        <v>3.5</v>
      </c>
      <c r="G40" s="3">
        <v>3.0</v>
      </c>
    </row>
    <row r="41">
      <c r="A41" s="0" t="inlineStr">
        <is>
          <t>JB</t>
        </is>
      </c>
      <c r="B41" s="0" t="inlineStr">
        <is>
          <t>Obwód kolana</t>
        </is>
      </c>
      <c r="C41" s="2">
        <v>27.5</v>
      </c>
      <c r="D41" s="2">
        <v>38.0</v>
      </c>
      <c r="E41" s="12">
        <v>10.5</v>
      </c>
      <c r="F41" s="3">
        <v>27.5</v>
      </c>
      <c r="G41" s="3">
        <v>38.0</v>
      </c>
    </row>
    <row r="42">
      <c r="A42" s="0" t="inlineStr">
        <is>
          <t>JB</t>
        </is>
      </c>
      <c r="B42" s="0" t="inlineStr">
        <is>
          <t>Obwód łydki</t>
        </is>
      </c>
      <c r="C42" s="2">
        <v>19.0</v>
      </c>
      <c r="D42" s="2">
        <v>15.5</v>
      </c>
      <c r="E42" s="12">
        <v>-3.5</v>
      </c>
      <c r="F42" s="3">
        <v>-19.0</v>
      </c>
      <c r="G42" s="3">
        <v>15.5</v>
      </c>
    </row>
    <row r="43">
      <c r="A43" s="0" t="inlineStr">
        <is>
          <t>JB</t>
        </is>
      </c>
      <c r="B43" s="0" t="inlineStr">
        <is>
          <t>Obwód kostki</t>
        </is>
      </c>
      <c r="C43" s="2">
        <v>9.0</v>
      </c>
      <c r="D43" s="2">
        <v>2.0</v>
      </c>
      <c r="E43" s="12">
        <v>-7.0</v>
      </c>
      <c r="F43" s="3">
        <v>-9.0</v>
      </c>
      <c r="G43" s="3">
        <v>2.0</v>
      </c>
    </row>
    <row r="44">
      <c r="A44" s="0" t="inlineStr">
        <is>
          <t>PF</t>
        </is>
      </c>
      <c r="B44" s="0" t="inlineStr">
        <is>
          <t>Wzrost</t>
        </is>
      </c>
      <c r="C44" s="2">
        <v>0.0</v>
      </c>
      <c r="D44" s="2">
        <v>0.0</v>
      </c>
      <c r="E44" s="12">
        <v>0.0</v>
      </c>
      <c r="F44" s="3">
        <v>0.0</v>
      </c>
      <c r="G44" s="3">
        <v>0.0</v>
      </c>
    </row>
    <row r="45">
      <c r="A45" s="0" t="inlineStr">
        <is>
          <t>PF</t>
        </is>
      </c>
      <c r="B45" s="0" t="inlineStr">
        <is>
          <t>Obwód szyi</t>
        </is>
      </c>
      <c r="C45" s="2">
        <v>5.0</v>
      </c>
      <c r="D45" s="2">
        <v>2.5</v>
      </c>
      <c r="E45" s="12">
        <v>-2.5</v>
      </c>
      <c r="F45" s="3">
        <v>5.0</v>
      </c>
      <c r="G45" s="3">
        <v>2.5</v>
      </c>
    </row>
    <row r="46">
      <c r="A46" s="0" t="inlineStr">
        <is>
          <t>PF</t>
        </is>
      </c>
      <c r="B46" s="0" t="inlineStr">
        <is>
          <t>Szerokość ramion</t>
        </is>
      </c>
    </row>
    <row r="47">
      <c r="A47" s="0" t="inlineStr">
        <is>
          <t>PF</t>
        </is>
      </c>
      <c r="B47" s="0" t="inlineStr">
        <is>
          <t>Obwód klatki piersiowej</t>
        </is>
      </c>
      <c r="C47" s="2">
        <v>7.5</v>
      </c>
      <c r="D47" s="2">
        <v>7.0</v>
      </c>
      <c r="E47" s="12">
        <v>-0.5</v>
      </c>
      <c r="F47" s="3">
        <v>-7.5</v>
      </c>
      <c r="G47" s="3">
        <v>-7.0</v>
      </c>
    </row>
    <row r="48">
      <c r="A48" s="0" t="inlineStr">
        <is>
          <t>PF</t>
        </is>
      </c>
      <c r="B48" s="0" t="inlineStr">
        <is>
          <t>Obwód biustu</t>
        </is>
      </c>
      <c r="C48" s="2">
        <v>7.5</v>
      </c>
      <c r="D48" s="2">
        <v>7.0</v>
      </c>
      <c r="E48" s="12">
        <v>-0.5</v>
      </c>
      <c r="F48" s="3">
        <v>-7.5</v>
      </c>
      <c r="G48" s="3">
        <v>-7.0</v>
      </c>
    </row>
    <row r="49">
      <c r="A49" s="0" t="inlineStr">
        <is>
          <t>PF</t>
        </is>
      </c>
      <c r="B49" s="0" t="inlineStr">
        <is>
          <t>Obwód pod biustem</t>
        </is>
      </c>
      <c r="C49" s="2">
        <v>5.5</v>
      </c>
      <c r="D49" s="2">
        <v>3.0</v>
      </c>
      <c r="E49" s="12">
        <v>-2.5</v>
      </c>
      <c r="F49" s="3">
        <v>-2.5</v>
      </c>
      <c r="G49" s="3">
        <v>-2.0</v>
      </c>
    </row>
    <row r="50">
      <c r="A50" s="0" t="inlineStr">
        <is>
          <t>PF</t>
        </is>
      </c>
      <c r="B50" s="0" t="inlineStr">
        <is>
          <t>Długość ramienia</t>
        </is>
      </c>
    </row>
    <row r="51">
      <c r="A51" s="0" t="inlineStr">
        <is>
          <t>PF</t>
        </is>
      </c>
      <c r="B51" s="0" t="inlineStr">
        <is>
          <t>Obwód ramienia</t>
        </is>
      </c>
      <c r="C51" s="2">
        <v>4.0</v>
      </c>
      <c r="D51" s="2">
        <v>0.5</v>
      </c>
      <c r="E51" s="12">
        <v>-3.5</v>
      </c>
      <c r="F51" s="3">
        <v>-4.0</v>
      </c>
      <c r="G51" s="3">
        <v>-0.5</v>
      </c>
    </row>
    <row r="52">
      <c r="A52" s="0" t="inlineStr">
        <is>
          <t>PF</t>
        </is>
      </c>
      <c r="B52" s="0" t="inlineStr">
        <is>
          <t>Obwód nadgarstka</t>
        </is>
      </c>
      <c r="C52" s="2">
        <v>1.5</v>
      </c>
      <c r="D52" s="2">
        <v>5.5</v>
      </c>
      <c r="E52" s="12">
        <v>4.0</v>
      </c>
      <c r="F52" s="3">
        <v>1.5</v>
      </c>
      <c r="G52" s="3">
        <v>5.5</v>
      </c>
    </row>
    <row r="53">
      <c r="A53" s="0" t="inlineStr">
        <is>
          <t>PF</t>
        </is>
      </c>
      <c r="B53" s="0" t="inlineStr">
        <is>
          <t>Długość tułowia</t>
        </is>
      </c>
    </row>
    <row r="54">
      <c r="A54" s="0" t="inlineStr">
        <is>
          <t>PF</t>
        </is>
      </c>
      <c r="B54" s="0" t="inlineStr">
        <is>
          <t>Długość przodu</t>
        </is>
      </c>
    </row>
    <row r="55">
      <c r="A55" s="0" t="inlineStr">
        <is>
          <t>PF</t>
        </is>
      </c>
      <c r="B55" s="0" t="inlineStr">
        <is>
          <t>Długość pleców</t>
        </is>
      </c>
    </row>
    <row r="56">
      <c r="A56" s="0" t="inlineStr">
        <is>
          <t>PF</t>
        </is>
      </c>
      <c r="B56" s="0" t="inlineStr">
        <is>
          <t>Długość pleców do bioder</t>
        </is>
      </c>
    </row>
    <row r="57">
      <c r="A57" s="0" t="inlineStr">
        <is>
          <t>PF</t>
        </is>
      </c>
      <c r="B57" s="0" t="inlineStr">
        <is>
          <t>Obwód talii</t>
        </is>
      </c>
      <c r="C57" s="2">
        <v>11.5</v>
      </c>
      <c r="D57" s="2">
        <v>14.5</v>
      </c>
      <c r="E57" s="12">
        <v>3.0</v>
      </c>
      <c r="F57" s="3">
        <v>11.5</v>
      </c>
      <c r="G57" s="3">
        <v>14.5</v>
      </c>
    </row>
    <row r="58">
      <c r="A58" s="0" t="inlineStr">
        <is>
          <t>PF</t>
        </is>
      </c>
      <c r="B58" s="0" t="inlineStr">
        <is>
          <t>Obwód bioder</t>
        </is>
      </c>
      <c r="C58" s="2">
        <v>11.5</v>
      </c>
      <c r="D58" s="2">
        <v>10.0</v>
      </c>
      <c r="E58" s="12">
        <v>-1.5</v>
      </c>
      <c r="F58" s="3">
        <v>11.5</v>
      </c>
      <c r="G58" s="3">
        <v>10.0</v>
      </c>
    </row>
    <row r="59">
      <c r="A59" s="0" t="inlineStr">
        <is>
          <t>PF</t>
        </is>
      </c>
      <c r="B59" s="0" t="inlineStr">
        <is>
          <t>Wysokość stanu</t>
        </is>
      </c>
    </row>
    <row r="60">
      <c r="A60" s="0" t="inlineStr">
        <is>
          <t>PF</t>
        </is>
      </c>
      <c r="B60" s="0" t="inlineStr">
        <is>
          <t>Obwód uda</t>
        </is>
      </c>
      <c r="C60" s="2">
        <v>4.0</v>
      </c>
      <c r="D60" s="2">
        <v>12.5</v>
      </c>
      <c r="E60" s="12">
        <v>8.5</v>
      </c>
      <c r="F60" s="3">
        <v>4.0</v>
      </c>
      <c r="G60" s="3">
        <v>12.5</v>
      </c>
    </row>
    <row r="61">
      <c r="A61" s="0" t="inlineStr">
        <is>
          <t>PF</t>
        </is>
      </c>
      <c r="B61" s="0" t="inlineStr">
        <is>
          <t>Długość nogawki po wewnętrznej</t>
        </is>
      </c>
    </row>
    <row r="62">
      <c r="A62" s="0" t="inlineStr">
        <is>
          <t>PF</t>
        </is>
      </c>
      <c r="B62" s="0" t="inlineStr">
        <is>
          <t>Obwód kolana</t>
        </is>
      </c>
      <c r="C62" s="2">
        <v>19.0</v>
      </c>
      <c r="D62" s="2">
        <v>26.5</v>
      </c>
      <c r="E62" s="12">
        <v>7.5</v>
      </c>
      <c r="F62" s="3">
        <v>19.0</v>
      </c>
      <c r="G62" s="3">
        <v>26.5</v>
      </c>
    </row>
    <row r="63">
      <c r="A63" s="0" t="inlineStr">
        <is>
          <t>PF</t>
        </is>
      </c>
      <c r="B63" s="0" t="inlineStr">
        <is>
          <t>Obwód łydki</t>
        </is>
      </c>
      <c r="C63" s="2">
        <v>6.0</v>
      </c>
      <c r="D63" s="2">
        <v>1.5</v>
      </c>
      <c r="E63" s="12">
        <v>-4.5</v>
      </c>
      <c r="F63" s="3">
        <v>-6.0</v>
      </c>
      <c r="G63" s="3">
        <v>-1.5</v>
      </c>
    </row>
    <row r="64">
      <c r="A64" s="0" t="inlineStr">
        <is>
          <t>PF</t>
        </is>
      </c>
      <c r="B64" s="0" t="inlineStr">
        <is>
          <t>Obwód kostki</t>
        </is>
      </c>
      <c r="C64" s="2">
        <v>7.5</v>
      </c>
      <c r="D64" s="2">
        <v>8.0</v>
      </c>
      <c r="E64" s="12">
        <v>0.5</v>
      </c>
      <c r="F64" s="3">
        <v>-7.5</v>
      </c>
      <c r="G64" s="3">
        <v>8.0</v>
      </c>
    </row>
    <row r="65">
      <c r="A65" s="0" t="inlineStr">
        <is>
          <t>RF</t>
        </is>
      </c>
      <c r="B65" s="0" t="inlineStr">
        <is>
          <t>Wzrost</t>
        </is>
      </c>
      <c r="C65" s="2">
        <v>0.0</v>
      </c>
      <c r="D65" s="2">
        <v>0.0</v>
      </c>
      <c r="E65" s="12">
        <v>0.0</v>
      </c>
      <c r="F65" s="3">
        <v>0.0</v>
      </c>
      <c r="G65" s="3">
        <v>0.0</v>
      </c>
    </row>
    <row r="66">
      <c r="A66" s="0" t="inlineStr">
        <is>
          <t>RF</t>
        </is>
      </c>
      <c r="B66" s="0" t="inlineStr">
        <is>
          <t>Obwód szyi</t>
        </is>
      </c>
      <c r="C66" s="2">
        <v>7.0</v>
      </c>
      <c r="D66" s="2">
        <v>7.0</v>
      </c>
      <c r="E66" s="12">
        <v>0.0</v>
      </c>
      <c r="F66" s="3">
        <v>7.0</v>
      </c>
      <c r="G66" s="3">
        <v>7.0</v>
      </c>
    </row>
    <row r="67">
      <c r="A67" s="0" t="inlineStr">
        <is>
          <t>RF</t>
        </is>
      </c>
      <c r="B67" s="0" t="inlineStr">
        <is>
          <t>Szerokość ramion</t>
        </is>
      </c>
      <c r="C67" s="2">
        <v>0.0</v>
      </c>
      <c r="D67" s="2">
        <v>3.0</v>
      </c>
      <c r="E67" s="12">
        <v>3.0</v>
      </c>
      <c r="F67" s="3">
        <v>0.0</v>
      </c>
      <c r="G67" s="3">
        <v>-3.0</v>
      </c>
    </row>
    <row r="68">
      <c r="A68" s="0" t="inlineStr">
        <is>
          <t>RF</t>
        </is>
      </c>
      <c r="B68" s="0" t="inlineStr">
        <is>
          <t>Obwód klatki piersiowej</t>
        </is>
      </c>
      <c r="C68" s="2">
        <v>0.0</v>
      </c>
      <c r="D68" s="2">
        <v>1.0</v>
      </c>
      <c r="E68" s="12">
        <v>1.0</v>
      </c>
      <c r="F68" s="3">
        <v>0.0</v>
      </c>
      <c r="G68" s="3">
        <v>1.0</v>
      </c>
    </row>
    <row r="69">
      <c r="A69" s="0" t="inlineStr">
        <is>
          <t>RF</t>
        </is>
      </c>
      <c r="B69" s="0" t="inlineStr">
        <is>
          <t>Obwód biustu</t>
        </is>
      </c>
      <c r="C69" s="2">
        <v>1.0</v>
      </c>
      <c r="D69" s="2">
        <v>2.0</v>
      </c>
      <c r="E69" s="12">
        <v>1.0</v>
      </c>
      <c r="F69" s="3">
        <v>1.0</v>
      </c>
      <c r="G69" s="3">
        <v>2.0</v>
      </c>
    </row>
    <row r="70">
      <c r="A70" s="0" t="inlineStr">
        <is>
          <t>RF</t>
        </is>
      </c>
      <c r="B70" s="0" t="inlineStr">
        <is>
          <t>Obwód pod biustem</t>
        </is>
      </c>
      <c r="C70" s="2">
        <v>4.0</v>
      </c>
      <c r="D70" s="2">
        <v>4.0</v>
      </c>
      <c r="E70" s="12">
        <v>0.0</v>
      </c>
      <c r="F70" s="3">
        <v>4.0</v>
      </c>
      <c r="G70" s="3">
        <v>4.0</v>
      </c>
    </row>
    <row r="71">
      <c r="A71" s="0" t="inlineStr">
        <is>
          <t>RF</t>
        </is>
      </c>
      <c r="B71" s="0" t="inlineStr">
        <is>
          <t>Długość ramienia</t>
        </is>
      </c>
      <c r="C71" s="2">
        <v>0.0</v>
      </c>
      <c r="D71" s="2">
        <v>1.0</v>
      </c>
      <c r="E71" s="12">
        <v>1.0</v>
      </c>
      <c r="F71" s="3">
        <v>0.0</v>
      </c>
      <c r="G71" s="3">
        <v>-1.0</v>
      </c>
    </row>
    <row r="72">
      <c r="A72" s="0" t="inlineStr">
        <is>
          <t>RF</t>
        </is>
      </c>
      <c r="B72" s="0" t="inlineStr">
        <is>
          <t>Obwód ramienia</t>
        </is>
      </c>
      <c r="C72" s="2">
        <v>8.0</v>
      </c>
      <c r="D72" s="2">
        <v>2.0</v>
      </c>
      <c r="E72" s="12">
        <v>-6.0</v>
      </c>
      <c r="F72" s="3">
        <v>-8.0</v>
      </c>
      <c r="G72" s="3">
        <v>-2.0</v>
      </c>
    </row>
    <row r="73">
      <c r="A73" s="0" t="inlineStr">
        <is>
          <t>RF</t>
        </is>
      </c>
      <c r="B73" s="0" t="inlineStr">
        <is>
          <t>Obwód nadgarstka</t>
        </is>
      </c>
      <c r="C73" s="2">
        <v>0.0</v>
      </c>
      <c r="D73" s="2">
        <v>4.0</v>
      </c>
      <c r="E73" s="12">
        <v>4.0</v>
      </c>
      <c r="F73" s="3">
        <v>0.0</v>
      </c>
      <c r="G73" s="3">
        <v>4.0</v>
      </c>
    </row>
    <row r="74">
      <c r="A74" s="0" t="inlineStr">
        <is>
          <t>RF</t>
        </is>
      </c>
      <c r="B74" s="0" t="inlineStr">
        <is>
          <t>Długość tułowia</t>
        </is>
      </c>
      <c r="C74" s="2">
        <v>15.0</v>
      </c>
      <c r="D74" s="2">
        <v>13.0</v>
      </c>
      <c r="E74" s="12">
        <v>-2.0</v>
      </c>
      <c r="F74" s="3">
        <v>15.0</v>
      </c>
      <c r="G74" s="3">
        <v>13.0</v>
      </c>
    </row>
    <row r="75">
      <c r="A75" s="0" t="inlineStr">
        <is>
          <t>RF</t>
        </is>
      </c>
      <c r="B75" s="0" t="inlineStr">
        <is>
          <t>Długość przodu</t>
        </is>
      </c>
    </row>
    <row r="76">
      <c r="A76" s="0" t="inlineStr">
        <is>
          <t>RF</t>
        </is>
      </c>
      <c r="B76" s="0" t="inlineStr">
        <is>
          <t>Długość pleców</t>
        </is>
      </c>
    </row>
    <row r="77">
      <c r="A77" s="0" t="inlineStr">
        <is>
          <t>RF</t>
        </is>
      </c>
      <c r="B77" s="0" t="inlineStr">
        <is>
          <t>Długość pleców do bioder</t>
        </is>
      </c>
    </row>
    <row r="78">
      <c r="A78" s="0" t="inlineStr">
        <is>
          <t>RF</t>
        </is>
      </c>
      <c r="B78" s="0" t="inlineStr">
        <is>
          <t>Obwód talii</t>
        </is>
      </c>
      <c r="C78" s="2">
        <v>22.0</v>
      </c>
      <c r="D78" s="2">
        <v>19.0</v>
      </c>
      <c r="E78" s="12">
        <v>-3.0</v>
      </c>
      <c r="F78" s="3">
        <v>22.0</v>
      </c>
      <c r="G78" s="3">
        <v>19.0</v>
      </c>
    </row>
    <row r="79">
      <c r="A79" s="0" t="inlineStr">
        <is>
          <t>RF</t>
        </is>
      </c>
      <c r="B79" s="0" t="inlineStr">
        <is>
          <t>Obwód bioder</t>
        </is>
      </c>
      <c r="C79" s="2">
        <v>34.0</v>
      </c>
      <c r="D79" s="2">
        <v>21.0</v>
      </c>
      <c r="E79" s="12">
        <v>-13.0</v>
      </c>
      <c r="F79" s="3">
        <v>34.0</v>
      </c>
      <c r="G79" s="3">
        <v>21.0</v>
      </c>
    </row>
    <row r="80">
      <c r="A80" s="0" t="inlineStr">
        <is>
          <t>RF</t>
        </is>
      </c>
      <c r="B80" s="0" t="inlineStr">
        <is>
          <t>Wysokość stanu</t>
        </is>
      </c>
    </row>
    <row r="81">
      <c r="A81" s="0" t="inlineStr">
        <is>
          <t>RF</t>
        </is>
      </c>
      <c r="B81" s="0" t="inlineStr">
        <is>
          <t>Obwód uda</t>
        </is>
      </c>
      <c r="C81" s="2">
        <v>9.0</v>
      </c>
      <c r="D81" s="2">
        <v>9.0</v>
      </c>
      <c r="E81" s="12">
        <v>0.0</v>
      </c>
      <c r="F81" s="3">
        <v>-9.0</v>
      </c>
      <c r="G81" s="3">
        <v>-9.0</v>
      </c>
    </row>
    <row r="82">
      <c r="A82" s="0" t="inlineStr">
        <is>
          <t>RF</t>
        </is>
      </c>
      <c r="B82" s="0" t="inlineStr">
        <is>
          <t>Długość nogawki po wewnętrznej</t>
        </is>
      </c>
    </row>
    <row r="83">
      <c r="A83" s="0" t="inlineStr">
        <is>
          <t>RF</t>
        </is>
      </c>
      <c r="B83" s="0" t="inlineStr">
        <is>
          <t>Obwód kolana</t>
        </is>
      </c>
      <c r="C83" s="2">
        <v>6.0</v>
      </c>
      <c r="D83" s="2">
        <v>16.0</v>
      </c>
      <c r="E83" s="12">
        <v>10.0</v>
      </c>
      <c r="F83" s="3">
        <v>6.0</v>
      </c>
      <c r="G83" s="3">
        <v>16.0</v>
      </c>
    </row>
    <row r="84">
      <c r="A84" s="0" t="inlineStr">
        <is>
          <t>RF</t>
        </is>
      </c>
      <c r="B84" s="0" t="inlineStr">
        <is>
          <t>Obwód łydki</t>
        </is>
      </c>
      <c r="C84" s="2">
        <v>10.0</v>
      </c>
      <c r="D84" s="2">
        <v>15.0</v>
      </c>
      <c r="E84" s="12">
        <v>5.0</v>
      </c>
      <c r="F84" s="3">
        <v>10.0</v>
      </c>
      <c r="G84" s="3">
        <v>15.0</v>
      </c>
    </row>
    <row r="85">
      <c r="A85" s="0" t="inlineStr">
        <is>
          <t>RF</t>
        </is>
      </c>
      <c r="B85" s="0" t="inlineStr">
        <is>
          <t>Obwód kostki</t>
        </is>
      </c>
      <c r="C85" s="2">
        <v>21.0</v>
      </c>
      <c r="D85" s="2">
        <v>26.0</v>
      </c>
      <c r="E85" s="12">
        <v>5.0</v>
      </c>
      <c r="F85" s="3">
        <v>21.0</v>
      </c>
      <c r="G85" s="3">
        <v>26.0</v>
      </c>
    </row>
  </sheetData>
  <autoFilter ref="A1:G85"/>
  <conditionalFormatting sqref="E2:E85">
    <cfRule type="cellIs" dxfId="0" priority="1" operator="lessThan">
      <formula>0</formula>
    </cfRule>
    <cfRule type="cellIs" dxfId="1" priority="2" operator="greaterThan">
      <formula>0</formula>
    </cfRule>
  </conditionalFormatting>
  <pageMargins left="0.3" right="0.3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>
  <dimension ref="A1:E24"/>
  <sheetViews>
    <sheetView workbookViewId="0" showGridLines="0">
      <pane ySplit="3" topLeftCell="A4" activePane="bottomLeft" state="frozen"/>
    </sheetView>
  </sheetViews>
  <sheetFormatPr defaultRowHeight="22"/>
  <cols>
    <col min="1" max="1" width="42" customWidth="1"/>
    <col min="2" max="2" width="24" customWidth="1"/>
    <col min="3" max="3" width="24" customWidth="1"/>
    <col min="4" max="4" width="24" customWidth="1"/>
    <col min="5" max="5" width="24" customWidth="1"/>
  </cols>
  <sheetData>
    <row r="1" ht="32" customHeight="1">
      <c r="A1" s="5" t="inlineStr">
        <is>
          <t>Równa waga osób — wariant pomocniczy</t>
        </is>
      </c>
    </row>
    <row r="2" ht="28" customHeight="1">
      <c r="A2" s="6" t="inlineStr">
        <is>
          <t>Najpierw średni błąd z prób jednej osoby, potem średnia z osób z dostępnym pomiarem. JB i PF nie mają większej wagi.</t>
        </is>
      </c>
    </row>
    <row r="3" ht="76" customHeight="1">
      <c r="A3" s="1" t="inlineStr">
        <is>
          <t>Mierzony wymiar</t>
        </is>
      </c>
      <c r="B3" s="11" t="inlineStr">
        <is>
          <t>Liczba osób</t>
        </is>
      </c>
      <c r="C3" s="11" t="inlineStr">
        <is>
          <t>Średnio o ile Siz3r się myli [cm]
1 zdjęcie</t>
        </is>
      </c>
      <c r="D3" s="11" t="inlineStr">
        <is>
          <t>Średnio o ile Siz3r się myli [cm]
2 zdjęcia</t>
        </is>
      </c>
      <c r="E3" s="11" t="inlineStr">
        <is>
          <t>Co daje 2. zdjęcie?
Lepiej / gorzej</t>
        </is>
      </c>
    </row>
    <row r="4">
      <c r="A4" s="0" t="inlineStr">
        <is>
          <t>Wzrost</t>
        </is>
      </c>
      <c r="B4" s="4">
        <v>4</v>
      </c>
      <c r="C4" s="2">
        <v>0.0</v>
      </c>
      <c r="D4" s="2">
        <v>0.0</v>
      </c>
      <c r="E4" s="12">
        <v>0.0</v>
      </c>
    </row>
    <row r="5">
      <c r="A5" s="0" t="inlineStr">
        <is>
          <t>Obwód szyi</t>
        </is>
      </c>
      <c r="B5" s="4">
        <v>4</v>
      </c>
      <c r="C5" s="2">
        <v>5.125</v>
      </c>
      <c r="D5" s="2">
        <v>4.25</v>
      </c>
      <c r="E5" s="12">
        <v>-0.875</v>
      </c>
    </row>
    <row r="6">
      <c r="A6" s="0" t="inlineStr">
        <is>
          <t>Szerokość ramion</t>
        </is>
      </c>
      <c r="B6" s="4">
        <v>3</v>
      </c>
      <c r="C6" s="2">
        <v>1.5</v>
      </c>
      <c r="D6" s="2">
        <v>1.8333333333333333</v>
      </c>
      <c r="E6" s="12">
        <v>0.33333333333333326</v>
      </c>
    </row>
    <row r="7">
      <c r="A7" s="0" t="inlineStr">
        <is>
          <t>Obwód klatki piersiowej</t>
        </is>
      </c>
      <c r="B7" s="4">
        <v>4</v>
      </c>
      <c r="C7" s="2">
        <v>3.875</v>
      </c>
      <c r="D7" s="2">
        <v>5.0</v>
      </c>
      <c r="E7" s="12">
        <v>1.125</v>
      </c>
    </row>
    <row r="8">
      <c r="A8" s="0" t="inlineStr">
        <is>
          <t>Obwód biustu</t>
        </is>
      </c>
      <c r="B8" s="4">
        <v>4</v>
      </c>
      <c r="C8" s="2">
        <v>4.125</v>
      </c>
      <c r="D8" s="2">
        <v>5.25</v>
      </c>
      <c r="E8" s="12">
        <v>1.125</v>
      </c>
    </row>
    <row r="9">
      <c r="A9" s="0" t="inlineStr">
        <is>
          <t>Obwód pod biustem</t>
        </is>
      </c>
      <c r="B9" s="4">
        <v>4</v>
      </c>
      <c r="C9" s="2">
        <v>5.375</v>
      </c>
      <c r="D9" s="2">
        <v>5.375</v>
      </c>
      <c r="E9" s="12">
        <v>0.0</v>
      </c>
    </row>
    <row r="10">
      <c r="A10" s="0" t="inlineStr">
        <is>
          <t>Długość ramienia</t>
        </is>
      </c>
      <c r="B10" s="4">
        <v>3</v>
      </c>
      <c r="C10" s="2">
        <v>0.8333333333333334</v>
      </c>
      <c r="D10" s="2">
        <v>3.5</v>
      </c>
      <c r="E10" s="12">
        <v>2.6666666666666665</v>
      </c>
    </row>
    <row r="11">
      <c r="A11" s="0" t="inlineStr">
        <is>
          <t>Obwód ramienia</t>
        </is>
      </c>
      <c r="B11" s="4">
        <v>4</v>
      </c>
      <c r="C11" s="2">
        <v>6.25</v>
      </c>
      <c r="D11" s="2">
        <v>2.25</v>
      </c>
      <c r="E11" s="12">
        <v>-4.0</v>
      </c>
    </row>
    <row r="12">
      <c r="A12" s="0" t="inlineStr">
        <is>
          <t>Obwód nadgarstka</t>
        </is>
      </c>
      <c r="B12" s="4">
        <v>4</v>
      </c>
      <c r="C12" s="2">
        <v>2.25</v>
      </c>
      <c r="D12" s="2">
        <v>3.5</v>
      </c>
      <c r="E12" s="12">
        <v>1.25</v>
      </c>
    </row>
    <row r="13">
      <c r="A13" s="0" t="inlineStr">
        <is>
          <t>Długość tułowia</t>
        </is>
      </c>
      <c r="B13" s="4">
        <v>2</v>
      </c>
      <c r="C13" s="2">
        <v>19.5</v>
      </c>
      <c r="D13" s="2">
        <v>18.5</v>
      </c>
      <c r="E13" s="12">
        <v>-1.0</v>
      </c>
    </row>
    <row r="14">
      <c r="A14" s="0" t="inlineStr">
        <is>
          <t>Długość przodu</t>
        </is>
      </c>
      <c r="B14" s="4">
        <v>1</v>
      </c>
      <c r="C14" s="2">
        <v>5.0</v>
      </c>
      <c r="D14" s="2">
        <v>5.0</v>
      </c>
      <c r="E14" s="12">
        <v>0.0</v>
      </c>
    </row>
    <row r="15">
      <c r="A15" s="0" t="inlineStr">
        <is>
          <t>Długość pleców</t>
        </is>
      </c>
      <c r="B15" s="4">
        <v>1</v>
      </c>
      <c r="C15" s="2">
        <v>1.5</v>
      </c>
      <c r="D15" s="2">
        <v>1.5</v>
      </c>
      <c r="E15" s="12">
        <v>0.0</v>
      </c>
    </row>
    <row r="16">
      <c r="A16" s="0" t="inlineStr">
        <is>
          <t>Długość pleców do bioder</t>
        </is>
      </c>
      <c r="B16" s="4">
        <v>1</v>
      </c>
      <c r="C16" s="2">
        <v>10.0</v>
      </c>
      <c r="D16" s="2">
        <v>10.0</v>
      </c>
      <c r="E16" s="12">
        <v>0.0</v>
      </c>
    </row>
    <row r="17">
      <c r="A17" s="0" t="inlineStr">
        <is>
          <t>Obwód talii</t>
        </is>
      </c>
      <c r="B17" s="4">
        <v>4</v>
      </c>
      <c r="C17" s="2">
        <v>18.625</v>
      </c>
      <c r="D17" s="2">
        <v>21.625</v>
      </c>
      <c r="E17" s="12">
        <v>3.0</v>
      </c>
    </row>
    <row r="18">
      <c r="A18" s="0" t="inlineStr">
        <is>
          <t>Obwód bioder</t>
        </is>
      </c>
      <c r="B18" s="4">
        <v>4</v>
      </c>
      <c r="C18" s="2">
        <v>24.5</v>
      </c>
      <c r="D18" s="2">
        <v>22.375</v>
      </c>
      <c r="E18" s="12">
        <v>-2.125</v>
      </c>
    </row>
    <row r="19">
      <c r="A19" s="0" t="inlineStr">
        <is>
          <t>Wysokość stanu</t>
        </is>
      </c>
      <c r="B19" s="4">
        <v>2</v>
      </c>
      <c r="C19" s="2">
        <v>16.25</v>
      </c>
      <c r="D19" s="2">
        <v>18.25</v>
      </c>
      <c r="E19" s="12">
        <v>2.0</v>
      </c>
    </row>
    <row r="20">
      <c r="A20" s="0" t="inlineStr">
        <is>
          <t>Obwód uda</t>
        </is>
      </c>
      <c r="B20" s="4">
        <v>4</v>
      </c>
      <c r="C20" s="2">
        <v>7.75</v>
      </c>
      <c r="D20" s="2">
        <v>13.5</v>
      </c>
      <c r="E20" s="12">
        <v>5.75</v>
      </c>
    </row>
    <row r="21">
      <c r="A21" s="0" t="inlineStr">
        <is>
          <t>Długość nogawki po wewnętrznej</t>
        </is>
      </c>
      <c r="B21" s="4">
        <v>2</v>
      </c>
      <c r="C21" s="2">
        <v>10.25</v>
      </c>
      <c r="D21" s="2">
        <v>10.5</v>
      </c>
      <c r="E21" s="12">
        <v>0.25</v>
      </c>
    </row>
    <row r="22">
      <c r="A22" s="0" t="inlineStr">
        <is>
          <t>Obwód kolana</t>
        </is>
      </c>
      <c r="B22" s="4">
        <v>4</v>
      </c>
      <c r="C22" s="2">
        <v>13.375</v>
      </c>
      <c r="D22" s="2">
        <v>22.125</v>
      </c>
      <c r="E22" s="12">
        <v>8.75</v>
      </c>
    </row>
    <row r="23">
      <c r="A23" s="0" t="inlineStr">
        <is>
          <t>Obwód łydki</t>
        </is>
      </c>
      <c r="B23" s="4">
        <v>4</v>
      </c>
      <c r="C23" s="2">
        <v>8.75</v>
      </c>
      <c r="D23" s="2">
        <v>9.0</v>
      </c>
      <c r="E23" s="12">
        <v>0.25</v>
      </c>
    </row>
    <row r="24">
      <c r="A24" s="0" t="inlineStr">
        <is>
          <t>Obwód kostki</t>
        </is>
      </c>
      <c r="B24" s="4">
        <v>4</v>
      </c>
      <c r="C24" s="2">
        <v>11.375</v>
      </c>
      <c r="D24" s="2">
        <v>12.25</v>
      </c>
      <c r="E24" s="12">
        <v>0.875</v>
      </c>
    </row>
  </sheetData>
  <autoFilter ref="A3:E24"/>
  <mergeCells count="2">
    <mergeCell ref="A1:E1"/>
    <mergeCell ref="A2:E2"/>
  </mergeCells>
  <conditionalFormatting sqref="E4:E24">
    <cfRule type="cellIs" dxfId="0" priority="1" operator="lessThan">
      <formula>0</formula>
    </cfRule>
    <cfRule type="cellIs" dxfId="1" priority="2" operator="greaterThan">
      <formula>0</formula>
    </cfRule>
  </conditionalFormatting>
  <pageMargins left="0.3" right="0.3" top="0.4" bottom="0.4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>
  <dimension ref="A1:K253"/>
  <sheetViews>
    <sheetView workbookViewId="0" showGridLines="0">
      <pane ySplit="1" topLeftCell="A2" activePane="bottomLeft" state="frozen"/>
    </sheetView>
  </sheetViews>
  <sheetFormatPr defaultRowHeight="22"/>
  <cols>
    <col min="1" max="1" width="24" customWidth="1"/>
    <col min="2" max="2" width="11" customWidth="1"/>
    <col min="3" max="3" width="10" customWidth="1"/>
    <col min="4" max="4" width="15" customWidth="1"/>
    <col min="5" max="5" width="42" customWidth="1"/>
    <col min="6" max="6" width="16" customWidth="1"/>
    <col min="7" max="7" width="20" customWidth="1"/>
    <col min="8" max="8" width="19" customWidth="1"/>
    <col min="9" max="9" width="26" customWidth="1"/>
    <col min="10" max="10" width="22" customWidth="1"/>
    <col min="11" max="11" width="25" customWidth="1"/>
  </cols>
  <sheetData>
    <row r="1" ht="76" customHeight="1">
      <c r="A1" s="1" t="inlineStr">
        <is>
          <t>Plik</t>
        </is>
      </c>
      <c r="B1" s="1" t="inlineStr">
        <is>
          <t>Osoba</t>
        </is>
      </c>
      <c r="C1" s="11" t="inlineStr">
        <is>
          <t>Próba</t>
        </is>
      </c>
      <c r="D1" s="11" t="inlineStr">
        <is>
          <t>Liczba zdjęć</t>
        </is>
      </c>
      <c r="E1" s="1" t="inlineStr">
        <is>
          <t>Pomiar</t>
        </is>
      </c>
      <c r="F1" s="11" t="inlineStr">
        <is>
          <t>Siz3r [cm]</t>
        </is>
      </c>
      <c r="G1" s="11" t="inlineStr">
        <is>
          <t>Rzeczywisty [cm]</t>
        </is>
      </c>
      <c r="H1" s="11" t="inlineStr">
        <is>
          <t>Różnica [cm]</t>
        </is>
      </c>
      <c r="I1" s="11" t="inlineStr">
        <is>
          <t>Bezwzględna różnica [cm]</t>
        </is>
      </c>
      <c r="J1" s="11" t="inlineStr">
        <is>
          <t>Różnica w PDF [cm]</t>
        </is>
      </c>
      <c r="K1" s="1" t="inlineStr">
        <is>
          <t>Dostępność</t>
        </is>
      </c>
    </row>
    <row r="2">
      <c r="A2" s="0" t="inlineStr">
        <is>
          <t>BB-1photo-1.pdf</t>
        </is>
      </c>
      <c r="B2" s="0" t="inlineStr">
        <is>
          <t>BB</t>
        </is>
      </c>
      <c r="C2" s="4">
        <v>1</v>
      </c>
      <c r="D2" s="4">
        <v>1</v>
      </c>
      <c r="E2" s="0" t="inlineStr">
        <is>
          <t>Wzrost</t>
        </is>
      </c>
      <c r="F2" s="9">
        <v>177.0</v>
      </c>
      <c r="G2" s="9">
        <v>177.0</v>
      </c>
      <c r="H2" s="3">
        <f>IF(G2="","",F2-G2)</f>
        <v>0.0</v>
      </c>
      <c r="I2" s="2">
        <f>IF(H2="","",ABS(H2))</f>
        <v>0.0</v>
      </c>
      <c r="J2" s="3">
        <v>0.0</v>
      </c>
      <c r="K2" s="0" t="inlineStr">
        <is>
          <t>OK</t>
        </is>
      </c>
    </row>
    <row r="3">
      <c r="A3" s="0" t="inlineStr">
        <is>
          <t>BB-1photo-1.pdf</t>
        </is>
      </c>
      <c r="B3" s="0" t="inlineStr">
        <is>
          <t>BB</t>
        </is>
      </c>
      <c r="C3" s="4">
        <v>1</v>
      </c>
      <c r="D3" s="4">
        <v>1</v>
      </c>
      <c r="E3" s="0" t="inlineStr">
        <is>
          <t>Obwód szyi</t>
        </is>
      </c>
      <c r="F3" s="9">
        <v>47.0</v>
      </c>
      <c r="G3" s="9">
        <v>39.0</v>
      </c>
      <c r="H3" s="3">
        <f>IF(G3="","",F3-G3)</f>
        <v>8.0</v>
      </c>
      <c r="I3" s="2">
        <f>IF(H3="","",ABS(H3))</f>
        <v>8.0</v>
      </c>
      <c r="J3" s="3">
        <v>8.0</v>
      </c>
      <c r="K3" s="0" t="inlineStr">
        <is>
          <t>OK</t>
        </is>
      </c>
    </row>
    <row r="4">
      <c r="A4" s="0" t="inlineStr">
        <is>
          <t>BB-1photo-1.pdf</t>
        </is>
      </c>
      <c r="B4" s="0" t="inlineStr">
        <is>
          <t>BB</t>
        </is>
      </c>
      <c r="C4" s="4">
        <v>1</v>
      </c>
      <c r="D4" s="4">
        <v>1</v>
      </c>
      <c r="E4" s="0" t="inlineStr">
        <is>
          <t>Szerokość ramion</t>
        </is>
      </c>
      <c r="F4" s="9">
        <v>46.0</v>
      </c>
      <c r="G4" s="9">
        <v>44.0</v>
      </c>
      <c r="H4" s="3">
        <f>IF(G4="","",F4-G4)</f>
        <v>2.0</v>
      </c>
      <c r="I4" s="2">
        <f>IF(H4="","",ABS(H4))</f>
        <v>2.0</v>
      </c>
      <c r="J4" s="3">
        <v>2.0</v>
      </c>
      <c r="K4" s="0" t="inlineStr">
        <is>
          <t>OK</t>
        </is>
      </c>
    </row>
    <row r="5">
      <c r="A5" s="0" t="inlineStr">
        <is>
          <t>BB-1photo-1.pdf</t>
        </is>
      </c>
      <c r="B5" s="0" t="inlineStr">
        <is>
          <t>BB</t>
        </is>
      </c>
      <c r="C5" s="4">
        <v>1</v>
      </c>
      <c r="D5" s="4">
        <v>1</v>
      </c>
      <c r="E5" s="0" t="inlineStr">
        <is>
          <t>Obwód klatki piersiowej</t>
        </is>
      </c>
      <c r="F5" s="9">
        <v>96.0</v>
      </c>
      <c r="G5" s="9">
        <v>92.0</v>
      </c>
      <c r="H5" s="3">
        <f>IF(G5="","",F5-G5)</f>
        <v>4.0</v>
      </c>
      <c r="I5" s="2">
        <f>IF(H5="","",ABS(H5))</f>
        <v>4.0</v>
      </c>
      <c r="J5" s="3">
        <v>4.0</v>
      </c>
      <c r="K5" s="0" t="inlineStr">
        <is>
          <t>OK</t>
        </is>
      </c>
    </row>
    <row r="6">
      <c r="A6" s="0" t="inlineStr">
        <is>
          <t>BB-1photo-1.pdf</t>
        </is>
      </c>
      <c r="B6" s="0" t="inlineStr">
        <is>
          <t>BB</t>
        </is>
      </c>
      <c r="C6" s="4">
        <v>1</v>
      </c>
      <c r="D6" s="4">
        <v>1</v>
      </c>
      <c r="E6" s="0" t="inlineStr">
        <is>
          <t>Obwód biustu</t>
        </is>
      </c>
      <c r="F6" s="9">
        <v>96.0</v>
      </c>
      <c r="G6" s="9">
        <v>92.0</v>
      </c>
      <c r="H6" s="3">
        <f>IF(G6="","",F6-G6)</f>
        <v>4.0</v>
      </c>
      <c r="I6" s="2">
        <f>IF(H6="","",ABS(H6))</f>
        <v>4.0</v>
      </c>
      <c r="J6" s="3">
        <v>4.0</v>
      </c>
      <c r="K6" s="0" t="inlineStr">
        <is>
          <t>OK</t>
        </is>
      </c>
    </row>
    <row r="7">
      <c r="A7" s="0" t="inlineStr">
        <is>
          <t>BB-1photo-1.pdf</t>
        </is>
      </c>
      <c r="B7" s="0" t="inlineStr">
        <is>
          <t>BB</t>
        </is>
      </c>
      <c r="C7" s="4">
        <v>1</v>
      </c>
      <c r="D7" s="4">
        <v>1</v>
      </c>
      <c r="E7" s="0" t="inlineStr">
        <is>
          <t>Obwód pod biustem</t>
        </is>
      </c>
      <c r="F7" s="9">
        <v>91.0</v>
      </c>
      <c r="G7" s="9">
        <v>85.0</v>
      </c>
      <c r="H7" s="3">
        <f>IF(G7="","",F7-G7)</f>
        <v>6.0</v>
      </c>
      <c r="I7" s="2">
        <f>IF(H7="","",ABS(H7))</f>
        <v>6.0</v>
      </c>
      <c r="J7" s="3">
        <v>6.0</v>
      </c>
      <c r="K7" s="0" t="inlineStr">
        <is>
          <t>OK</t>
        </is>
      </c>
    </row>
    <row r="8">
      <c r="A8" s="0" t="inlineStr">
        <is>
          <t>BB-1photo-1.pdf</t>
        </is>
      </c>
      <c r="B8" s="0" t="inlineStr">
        <is>
          <t>BB</t>
        </is>
      </c>
      <c r="C8" s="4">
        <v>1</v>
      </c>
      <c r="D8" s="4">
        <v>1</v>
      </c>
      <c r="E8" s="0" t="inlineStr">
        <is>
          <t>Długość ramienia</t>
        </is>
      </c>
      <c r="F8" s="9">
        <v>61.0</v>
      </c>
      <c r="G8" s="9">
        <v>60.0</v>
      </c>
      <c r="H8" s="3">
        <f>IF(G8="","",F8-G8)</f>
        <v>1.0</v>
      </c>
      <c r="I8" s="2">
        <f>IF(H8="","",ABS(H8))</f>
        <v>1.0</v>
      </c>
      <c r="J8" s="3">
        <v>1.0</v>
      </c>
      <c r="K8" s="0" t="inlineStr">
        <is>
          <t>OK</t>
        </is>
      </c>
    </row>
    <row r="9">
      <c r="A9" s="0" t="inlineStr">
        <is>
          <t>BB-1photo-1.pdf</t>
        </is>
      </c>
      <c r="B9" s="0" t="inlineStr">
        <is>
          <t>BB</t>
        </is>
      </c>
      <c r="C9" s="4">
        <v>1</v>
      </c>
      <c r="D9" s="4">
        <v>1</v>
      </c>
      <c r="E9" s="0" t="inlineStr">
        <is>
          <t>Obwód ramienia</t>
        </is>
      </c>
      <c r="F9" s="9">
        <v>34.0</v>
      </c>
      <c r="G9" s="9">
        <v>29.0</v>
      </c>
      <c r="H9" s="3">
        <f>IF(G9="","",F9-G9)</f>
        <v>5.0</v>
      </c>
      <c r="I9" s="2">
        <f>IF(H9="","",ABS(H9))</f>
        <v>5.0</v>
      </c>
      <c r="J9" s="3">
        <v>5.0</v>
      </c>
      <c r="K9" s="0" t="inlineStr">
        <is>
          <t>OK</t>
        </is>
      </c>
    </row>
    <row r="10">
      <c r="A10" s="0" t="inlineStr">
        <is>
          <t>BB-1photo-1.pdf</t>
        </is>
      </c>
      <c r="B10" s="0" t="inlineStr">
        <is>
          <t>BB</t>
        </is>
      </c>
      <c r="C10" s="4">
        <v>1</v>
      </c>
      <c r="D10" s="4">
        <v>1</v>
      </c>
      <c r="E10" s="0" t="inlineStr">
        <is>
          <t>Obwód nadgarstka</t>
        </is>
      </c>
      <c r="F10" s="9">
        <v>13.0</v>
      </c>
      <c r="G10" s="9">
        <v>17.0</v>
      </c>
      <c r="H10" s="3">
        <f>IF(G10="","",F10-G10)</f>
        <v>-4.0</v>
      </c>
      <c r="I10" s="2">
        <f>IF(H10="","",ABS(H10))</f>
        <v>4.0</v>
      </c>
      <c r="J10" s="3">
        <v>-4.0</v>
      </c>
      <c r="K10" s="0" t="inlineStr">
        <is>
          <t>OK</t>
        </is>
      </c>
    </row>
    <row r="11">
      <c r="A11" s="0" t="inlineStr">
        <is>
          <t>BB-1photo-1.pdf</t>
        </is>
      </c>
      <c r="B11" s="0" t="inlineStr">
        <is>
          <t>BB</t>
        </is>
      </c>
      <c r="C11" s="4">
        <v>1</v>
      </c>
      <c r="D11" s="4">
        <v>1</v>
      </c>
      <c r="E11" s="0" t="inlineStr">
        <is>
          <t>Długość tułowia</t>
        </is>
      </c>
      <c r="F11" s="9">
        <v>71.0</v>
      </c>
      <c r="H11" s="3" t="str">
        <f>IF(G11="","",F11-G11)</f>
        <v/>
      </c>
      <c r="I11" s="2" t="str">
        <f>IF(H11="","",ABS(H11))</f>
        <v/>
      </c>
      <c r="K11" s="10" t="inlineStr">
        <is>
          <t>Brak rzeczywistego</t>
        </is>
      </c>
    </row>
    <row r="12">
      <c r="A12" s="0" t="inlineStr">
        <is>
          <t>BB-1photo-1.pdf</t>
        </is>
      </c>
      <c r="B12" s="0" t="inlineStr">
        <is>
          <t>BB</t>
        </is>
      </c>
      <c r="C12" s="4">
        <v>1</v>
      </c>
      <c r="D12" s="4">
        <v>1</v>
      </c>
      <c r="E12" s="0" t="inlineStr">
        <is>
          <t>Długość przodu</t>
        </is>
      </c>
      <c r="F12" s="9">
        <v>61.0</v>
      </c>
      <c r="H12" s="3" t="str">
        <f>IF(G12="","",F12-G12)</f>
        <v/>
      </c>
      <c r="I12" s="2" t="str">
        <f>IF(H12="","",ABS(H12))</f>
        <v/>
      </c>
      <c r="K12" s="10" t="inlineStr">
        <is>
          <t>Brak rzeczywistego</t>
        </is>
      </c>
    </row>
    <row r="13">
      <c r="A13" s="0" t="inlineStr">
        <is>
          <t>BB-1photo-1.pdf</t>
        </is>
      </c>
      <c r="B13" s="0" t="inlineStr">
        <is>
          <t>BB</t>
        </is>
      </c>
      <c r="C13" s="4">
        <v>1</v>
      </c>
      <c r="D13" s="4">
        <v>1</v>
      </c>
      <c r="E13" s="0" t="inlineStr">
        <is>
          <t>Długość pleców</t>
        </is>
      </c>
      <c r="F13" s="9">
        <v>59.0</v>
      </c>
      <c r="H13" s="3" t="str">
        <f>IF(G13="","",F13-G13)</f>
        <v/>
      </c>
      <c r="I13" s="2" t="str">
        <f>IF(H13="","",ABS(H13))</f>
        <v/>
      </c>
      <c r="K13" s="10" t="inlineStr">
        <is>
          <t>Brak rzeczywistego</t>
        </is>
      </c>
    </row>
    <row r="14">
      <c r="A14" s="0" t="inlineStr">
        <is>
          <t>BB-1photo-1.pdf</t>
        </is>
      </c>
      <c r="B14" s="0" t="inlineStr">
        <is>
          <t>BB</t>
        </is>
      </c>
      <c r="C14" s="4">
        <v>1</v>
      </c>
      <c r="D14" s="4">
        <v>1</v>
      </c>
      <c r="E14" s="0" t="inlineStr">
        <is>
          <t>Długość pleców do bioder</t>
        </is>
      </c>
      <c r="F14" s="9">
        <v>71.0</v>
      </c>
      <c r="H14" s="3" t="str">
        <f>IF(G14="","",F14-G14)</f>
        <v/>
      </c>
      <c r="I14" s="2" t="str">
        <f>IF(H14="","",ABS(H14))</f>
        <v/>
      </c>
      <c r="K14" s="10" t="inlineStr">
        <is>
          <t>Brak rzeczywistego</t>
        </is>
      </c>
    </row>
    <row r="15">
      <c r="A15" s="0" t="inlineStr">
        <is>
          <t>BB-1photo-1.pdf</t>
        </is>
      </c>
      <c r="B15" s="0" t="inlineStr">
        <is>
          <t>BB</t>
        </is>
      </c>
      <c r="C15" s="4">
        <v>1</v>
      </c>
      <c r="D15" s="4">
        <v>1</v>
      </c>
      <c r="E15" s="0" t="inlineStr">
        <is>
          <t>Obwód talii</t>
        </is>
      </c>
      <c r="F15" s="9">
        <v>101.0</v>
      </c>
      <c r="G15" s="9">
        <v>88.0</v>
      </c>
      <c r="H15" s="3">
        <f>IF(G15="","",F15-G15)</f>
        <v>13.0</v>
      </c>
      <c r="I15" s="2">
        <f>IF(H15="","",ABS(H15))</f>
        <v>13.0</v>
      </c>
      <c r="J15" s="3">
        <v>13.0</v>
      </c>
      <c r="K15" s="0" t="inlineStr">
        <is>
          <t>OK</t>
        </is>
      </c>
    </row>
    <row r="16">
      <c r="A16" s="0" t="inlineStr">
        <is>
          <t>BB-1photo-1.pdf</t>
        </is>
      </c>
      <c r="B16" s="0" t="inlineStr">
        <is>
          <t>BB</t>
        </is>
      </c>
      <c r="C16" s="4">
        <v>1</v>
      </c>
      <c r="D16" s="4">
        <v>1</v>
      </c>
      <c r="E16" s="0" t="inlineStr">
        <is>
          <t>Obwód bioder</t>
        </is>
      </c>
      <c r="F16" s="9">
        <v>108.0</v>
      </c>
      <c r="G16" s="9">
        <v>97.0</v>
      </c>
      <c r="H16" s="3">
        <f>IF(G16="","",F16-G16)</f>
        <v>11.0</v>
      </c>
      <c r="I16" s="2">
        <f>IF(H16="","",ABS(H16))</f>
        <v>11.0</v>
      </c>
      <c r="J16" s="3">
        <v>11.0</v>
      </c>
      <c r="K16" s="0" t="inlineStr">
        <is>
          <t>OK</t>
        </is>
      </c>
    </row>
    <row r="17">
      <c r="A17" s="0" t="inlineStr">
        <is>
          <t>BB-1photo-1.pdf</t>
        </is>
      </c>
      <c r="B17" s="0" t="inlineStr">
        <is>
          <t>BB</t>
        </is>
      </c>
      <c r="C17" s="4">
        <v>1</v>
      </c>
      <c r="D17" s="4">
        <v>1</v>
      </c>
      <c r="E17" s="0" t="inlineStr">
        <is>
          <t>Wysokość stanu</t>
        </is>
      </c>
      <c r="F17" s="9">
        <v>84.0</v>
      </c>
      <c r="G17" s="9">
        <v>73.0</v>
      </c>
      <c r="H17" s="3">
        <f>IF(G17="","",F17-G17)</f>
        <v>11.0</v>
      </c>
      <c r="I17" s="2">
        <f>IF(H17="","",ABS(H17))</f>
        <v>11.0</v>
      </c>
      <c r="J17" s="3">
        <v>11.0</v>
      </c>
      <c r="K17" s="0" t="inlineStr">
        <is>
          <t>OK</t>
        </is>
      </c>
    </row>
    <row r="18">
      <c r="A18" s="0" t="inlineStr">
        <is>
          <t>BB-1photo-1.pdf</t>
        </is>
      </c>
      <c r="B18" s="0" t="inlineStr">
        <is>
          <t>BB</t>
        </is>
      </c>
      <c r="C18" s="4">
        <v>1</v>
      </c>
      <c r="D18" s="4">
        <v>1</v>
      </c>
      <c r="E18" s="0" t="inlineStr">
        <is>
          <t>Obwód uda</t>
        </is>
      </c>
      <c r="F18" s="9">
        <v>58.0</v>
      </c>
      <c r="G18" s="9">
        <v>54.0</v>
      </c>
      <c r="H18" s="3">
        <f>IF(G18="","",F18-G18)</f>
        <v>4.0</v>
      </c>
      <c r="I18" s="2">
        <f>IF(H18="","",ABS(H18))</f>
        <v>4.0</v>
      </c>
      <c r="J18" s="3">
        <v>4.0</v>
      </c>
      <c r="K18" s="0" t="inlineStr">
        <is>
          <t>OK</t>
        </is>
      </c>
    </row>
    <row r="19">
      <c r="A19" s="0" t="inlineStr">
        <is>
          <t>BB-1photo-1.pdf</t>
        </is>
      </c>
      <c r="B19" s="0" t="inlineStr">
        <is>
          <t>BB</t>
        </is>
      </c>
      <c r="C19" s="4">
        <v>1</v>
      </c>
      <c r="D19" s="4">
        <v>1</v>
      </c>
      <c r="E19" s="0" t="inlineStr">
        <is>
          <t>Długość nogawki po wewnętrznej</t>
        </is>
      </c>
      <c r="F19" s="9">
        <v>67.0</v>
      </c>
      <c r="G19" s="9">
        <v>84.0</v>
      </c>
      <c r="H19" s="3">
        <f>IF(G19="","",F19-G19)</f>
        <v>-17.0</v>
      </c>
      <c r="I19" s="2">
        <f>IF(H19="","",ABS(H19))</f>
        <v>17.0</v>
      </c>
      <c r="J19" s="3">
        <v>-17.0</v>
      </c>
      <c r="K19" s="0" t="inlineStr">
        <is>
          <t>OK</t>
        </is>
      </c>
    </row>
    <row r="20">
      <c r="A20" s="0" t="inlineStr">
        <is>
          <t>BB-1photo-1.pdf</t>
        </is>
      </c>
      <c r="B20" s="0" t="inlineStr">
        <is>
          <t>BB</t>
        </is>
      </c>
      <c r="C20" s="4">
        <v>1</v>
      </c>
      <c r="D20" s="4">
        <v>1</v>
      </c>
      <c r="E20" s="0" t="inlineStr">
        <is>
          <t>Obwód kolana</t>
        </is>
      </c>
      <c r="F20" s="9">
        <v>37.0</v>
      </c>
      <c r="G20" s="9">
        <v>38.0</v>
      </c>
      <c r="H20" s="3">
        <f>IF(G20="","",F20-G20)</f>
        <v>-1.0</v>
      </c>
      <c r="I20" s="2">
        <f>IF(H20="","",ABS(H20))</f>
        <v>1.0</v>
      </c>
      <c r="J20" s="3">
        <v>-1.0</v>
      </c>
      <c r="K20" s="0" t="inlineStr">
        <is>
          <t>OK</t>
        </is>
      </c>
    </row>
    <row r="21">
      <c r="A21" s="0" t="inlineStr">
        <is>
          <t>BB-1photo-1.pdf</t>
        </is>
      </c>
      <c r="B21" s="0" t="inlineStr">
        <is>
          <t>BB</t>
        </is>
      </c>
      <c r="C21" s="4">
        <v>1</v>
      </c>
      <c r="D21" s="4">
        <v>1</v>
      </c>
      <c r="E21" s="0" t="inlineStr">
        <is>
          <t>Obwód łydki</t>
        </is>
      </c>
      <c r="F21" s="9">
        <v>37.0</v>
      </c>
      <c r="G21" s="9">
        <v>37.0</v>
      </c>
      <c r="H21" s="3">
        <f>IF(G21="","",F21-G21)</f>
        <v>0.0</v>
      </c>
      <c r="I21" s="2">
        <f>IF(H21="","",ABS(H21))</f>
        <v>0.0</v>
      </c>
      <c r="J21" s="3">
        <v>0.0</v>
      </c>
      <c r="K21" s="0" t="inlineStr">
        <is>
          <t>OK</t>
        </is>
      </c>
    </row>
    <row r="22">
      <c r="A22" s="0" t="inlineStr">
        <is>
          <t>BB-1photo-1.pdf</t>
        </is>
      </c>
      <c r="B22" s="0" t="inlineStr">
        <is>
          <t>BB</t>
        </is>
      </c>
      <c r="C22" s="4">
        <v>1</v>
      </c>
      <c r="D22" s="4">
        <v>1</v>
      </c>
      <c r="E22" s="0" t="inlineStr">
        <is>
          <t>Obwód kostki</t>
        </is>
      </c>
      <c r="F22" s="9">
        <v>31.0</v>
      </c>
      <c r="G22" s="9">
        <v>23.0</v>
      </c>
      <c r="H22" s="3">
        <f>IF(G22="","",F22-G22)</f>
        <v>8.0</v>
      </c>
      <c r="I22" s="2">
        <f>IF(H22="","",ABS(H22))</f>
        <v>8.0</v>
      </c>
      <c r="J22" s="3">
        <v>8.0</v>
      </c>
      <c r="K22" s="0" t="inlineStr">
        <is>
          <t>OK</t>
        </is>
      </c>
    </row>
    <row r="23">
      <c r="A23" s="0" t="inlineStr">
        <is>
          <t>BB-2photos-1.pdf</t>
        </is>
      </c>
      <c r="B23" s="0" t="inlineStr">
        <is>
          <t>BB</t>
        </is>
      </c>
      <c r="C23" s="4">
        <v>1</v>
      </c>
      <c r="D23" s="4">
        <v>2</v>
      </c>
      <c r="E23" s="0" t="inlineStr">
        <is>
          <t>Wzrost</t>
        </is>
      </c>
      <c r="F23" s="9">
        <v>177.0</v>
      </c>
      <c r="G23" s="9">
        <v>177.0</v>
      </c>
      <c r="H23" s="3">
        <f>IF(G23="","",F23-G23)</f>
        <v>0.0</v>
      </c>
      <c r="I23" s="2">
        <f>IF(H23="","",ABS(H23))</f>
        <v>0.0</v>
      </c>
      <c r="J23" s="3">
        <v>0.0</v>
      </c>
      <c r="K23" s="0" t="inlineStr">
        <is>
          <t>OK</t>
        </is>
      </c>
    </row>
    <row r="24">
      <c r="A24" s="0" t="inlineStr">
        <is>
          <t>BB-2photos-1.pdf</t>
        </is>
      </c>
      <c r="B24" s="0" t="inlineStr">
        <is>
          <t>BB</t>
        </is>
      </c>
      <c r="C24" s="4">
        <v>1</v>
      </c>
      <c r="D24" s="4">
        <v>2</v>
      </c>
      <c r="E24" s="0" t="inlineStr">
        <is>
          <t>Obwód szyi</t>
        </is>
      </c>
      <c r="F24" s="9">
        <v>46.0</v>
      </c>
      <c r="G24" s="9">
        <v>39.0</v>
      </c>
      <c r="H24" s="3">
        <f>IF(G24="","",F24-G24)</f>
        <v>7.0</v>
      </c>
      <c r="I24" s="2">
        <f>IF(H24="","",ABS(H24))</f>
        <v>7.0</v>
      </c>
      <c r="J24" s="3">
        <v>7.0</v>
      </c>
      <c r="K24" s="0" t="inlineStr">
        <is>
          <t>OK</t>
        </is>
      </c>
    </row>
    <row r="25">
      <c r="A25" s="0" t="inlineStr">
        <is>
          <t>BB-2photos-1.pdf</t>
        </is>
      </c>
      <c r="B25" s="0" t="inlineStr">
        <is>
          <t>BB</t>
        </is>
      </c>
      <c r="C25" s="4">
        <v>1</v>
      </c>
      <c r="D25" s="4">
        <v>2</v>
      </c>
      <c r="E25" s="0" t="inlineStr">
        <is>
          <t>Szerokość ramion</t>
        </is>
      </c>
      <c r="F25" s="9">
        <v>45.0</v>
      </c>
      <c r="G25" s="9">
        <v>44.0</v>
      </c>
      <c r="H25" s="3">
        <f>IF(G25="","",F25-G25)</f>
        <v>1.0</v>
      </c>
      <c r="I25" s="2">
        <f>IF(H25="","",ABS(H25))</f>
        <v>1.0</v>
      </c>
      <c r="J25" s="3">
        <v>1.0</v>
      </c>
      <c r="K25" s="0" t="inlineStr">
        <is>
          <t>OK</t>
        </is>
      </c>
    </row>
    <row r="26">
      <c r="A26" s="0" t="inlineStr">
        <is>
          <t>BB-2photos-1.pdf</t>
        </is>
      </c>
      <c r="B26" s="0" t="inlineStr">
        <is>
          <t>BB</t>
        </is>
      </c>
      <c r="C26" s="4">
        <v>1</v>
      </c>
      <c r="D26" s="4">
        <v>2</v>
      </c>
      <c r="E26" s="0" t="inlineStr">
        <is>
          <t>Obwód klatki piersiowej</t>
        </is>
      </c>
      <c r="F26" s="9">
        <v>99.0</v>
      </c>
      <c r="G26" s="9">
        <v>92.0</v>
      </c>
      <c r="H26" s="3">
        <f>IF(G26="","",F26-G26)</f>
        <v>7.0</v>
      </c>
      <c r="I26" s="2">
        <f>IF(H26="","",ABS(H26))</f>
        <v>7.0</v>
      </c>
      <c r="J26" s="3">
        <v>7.0</v>
      </c>
      <c r="K26" s="0" t="inlineStr">
        <is>
          <t>OK</t>
        </is>
      </c>
    </row>
    <row r="27">
      <c r="A27" s="0" t="inlineStr">
        <is>
          <t>BB-2photos-1.pdf</t>
        </is>
      </c>
      <c r="B27" s="0" t="inlineStr">
        <is>
          <t>BB</t>
        </is>
      </c>
      <c r="C27" s="4">
        <v>1</v>
      </c>
      <c r="D27" s="4">
        <v>2</v>
      </c>
      <c r="E27" s="0" t="inlineStr">
        <is>
          <t>Obwód biustu</t>
        </is>
      </c>
      <c r="F27" s="9">
        <v>99.0</v>
      </c>
      <c r="G27" s="9">
        <v>92.0</v>
      </c>
      <c r="H27" s="3">
        <f>IF(G27="","",F27-G27)</f>
        <v>7.0</v>
      </c>
      <c r="I27" s="2">
        <f>IF(H27="","",ABS(H27))</f>
        <v>7.0</v>
      </c>
      <c r="J27" s="3">
        <v>7.0</v>
      </c>
      <c r="K27" s="0" t="inlineStr">
        <is>
          <t>OK</t>
        </is>
      </c>
    </row>
    <row r="28">
      <c r="A28" s="0" t="inlineStr">
        <is>
          <t>BB-2photos-1.pdf</t>
        </is>
      </c>
      <c r="B28" s="0" t="inlineStr">
        <is>
          <t>BB</t>
        </is>
      </c>
      <c r="C28" s="4">
        <v>1</v>
      </c>
      <c r="D28" s="4">
        <v>2</v>
      </c>
      <c r="E28" s="0" t="inlineStr">
        <is>
          <t>Obwód pod biustem</t>
        </is>
      </c>
      <c r="F28" s="9">
        <v>93.0</v>
      </c>
      <c r="G28" s="9">
        <v>85.0</v>
      </c>
      <c r="H28" s="3">
        <f>IF(G28="","",F28-G28)</f>
        <v>8.0</v>
      </c>
      <c r="I28" s="2">
        <f>IF(H28="","",ABS(H28))</f>
        <v>8.0</v>
      </c>
      <c r="J28" s="3">
        <v>8.0</v>
      </c>
      <c r="K28" s="0" t="inlineStr">
        <is>
          <t>OK</t>
        </is>
      </c>
    </row>
    <row r="29">
      <c r="A29" s="0" t="inlineStr">
        <is>
          <t>BB-2photos-1.pdf</t>
        </is>
      </c>
      <c r="B29" s="0" t="inlineStr">
        <is>
          <t>BB</t>
        </is>
      </c>
      <c r="C29" s="4">
        <v>1</v>
      </c>
      <c r="D29" s="4">
        <v>2</v>
      </c>
      <c r="E29" s="0" t="inlineStr">
        <is>
          <t>Długość ramienia</t>
        </is>
      </c>
      <c r="F29" s="9">
        <v>65.0</v>
      </c>
      <c r="G29" s="9">
        <v>60.0</v>
      </c>
      <c r="H29" s="3">
        <f>IF(G29="","",F29-G29)</f>
        <v>5.0</v>
      </c>
      <c r="I29" s="2">
        <f>IF(H29="","",ABS(H29))</f>
        <v>5.0</v>
      </c>
      <c r="J29" s="3">
        <v>5.0</v>
      </c>
      <c r="K29" s="0" t="inlineStr">
        <is>
          <t>OK</t>
        </is>
      </c>
    </row>
    <row r="30">
      <c r="A30" s="0" t="inlineStr">
        <is>
          <t>BB-2photos-1.pdf</t>
        </is>
      </c>
      <c r="B30" s="0" t="inlineStr">
        <is>
          <t>BB</t>
        </is>
      </c>
      <c r="C30" s="4">
        <v>1</v>
      </c>
      <c r="D30" s="4">
        <v>2</v>
      </c>
      <c r="E30" s="0" t="inlineStr">
        <is>
          <t>Obwód ramienia</t>
        </is>
      </c>
      <c r="F30" s="9">
        <v>35.0</v>
      </c>
      <c r="G30" s="9">
        <v>29.0</v>
      </c>
      <c r="H30" s="3">
        <f>IF(G30="","",F30-G30)</f>
        <v>6.0</v>
      </c>
      <c r="I30" s="2">
        <f>IF(H30="","",ABS(H30))</f>
        <v>6.0</v>
      </c>
      <c r="J30" s="3">
        <v>6.0</v>
      </c>
      <c r="K30" s="0" t="inlineStr">
        <is>
          <t>OK</t>
        </is>
      </c>
    </row>
    <row r="31">
      <c r="A31" s="0" t="inlineStr">
        <is>
          <t>BB-2photos-1.pdf</t>
        </is>
      </c>
      <c r="B31" s="0" t="inlineStr">
        <is>
          <t>BB</t>
        </is>
      </c>
      <c r="C31" s="4">
        <v>1</v>
      </c>
      <c r="D31" s="4">
        <v>2</v>
      </c>
      <c r="E31" s="0" t="inlineStr">
        <is>
          <t>Obwód nadgarstka</t>
        </is>
      </c>
      <c r="F31" s="9">
        <v>19.0</v>
      </c>
      <c r="G31" s="9">
        <v>17.0</v>
      </c>
      <c r="H31" s="3">
        <f>IF(G31="","",F31-G31)</f>
        <v>2.0</v>
      </c>
      <c r="I31" s="2">
        <f>IF(H31="","",ABS(H31))</f>
        <v>2.0</v>
      </c>
      <c r="J31" s="3">
        <v>2.0</v>
      </c>
      <c r="K31" s="0" t="inlineStr">
        <is>
          <t>OK</t>
        </is>
      </c>
    </row>
    <row r="32">
      <c r="A32" s="0" t="inlineStr">
        <is>
          <t>BB-2photos-1.pdf</t>
        </is>
      </c>
      <c r="B32" s="0" t="inlineStr">
        <is>
          <t>BB</t>
        </is>
      </c>
      <c r="C32" s="4">
        <v>1</v>
      </c>
      <c r="D32" s="4">
        <v>2</v>
      </c>
      <c r="E32" s="0" t="inlineStr">
        <is>
          <t>Długość tułowia</t>
        </is>
      </c>
      <c r="F32" s="9">
        <v>73.0</v>
      </c>
      <c r="H32" s="3" t="str">
        <f>IF(G32="","",F32-G32)</f>
        <v/>
      </c>
      <c r="I32" s="2" t="str">
        <f>IF(H32="","",ABS(H32))</f>
        <v/>
      </c>
      <c r="K32" s="10" t="inlineStr">
        <is>
          <t>Brak rzeczywistego</t>
        </is>
      </c>
    </row>
    <row r="33">
      <c r="A33" s="0" t="inlineStr">
        <is>
          <t>BB-2photos-1.pdf</t>
        </is>
      </c>
      <c r="B33" s="0" t="inlineStr">
        <is>
          <t>BB</t>
        </is>
      </c>
      <c r="C33" s="4">
        <v>1</v>
      </c>
      <c r="D33" s="4">
        <v>2</v>
      </c>
      <c r="E33" s="0" t="inlineStr">
        <is>
          <t>Długość przodu</t>
        </is>
      </c>
      <c r="F33" s="9">
        <v>63.0</v>
      </c>
      <c r="H33" s="3" t="str">
        <f>IF(G33="","",F33-G33)</f>
        <v/>
      </c>
      <c r="I33" s="2" t="str">
        <f>IF(H33="","",ABS(H33))</f>
        <v/>
      </c>
      <c r="K33" s="10" t="inlineStr">
        <is>
          <t>Brak rzeczywistego</t>
        </is>
      </c>
    </row>
    <row r="34">
      <c r="A34" s="0" t="inlineStr">
        <is>
          <t>BB-2photos-1.pdf</t>
        </is>
      </c>
      <c r="B34" s="0" t="inlineStr">
        <is>
          <t>BB</t>
        </is>
      </c>
      <c r="C34" s="4">
        <v>1</v>
      </c>
      <c r="D34" s="4">
        <v>2</v>
      </c>
      <c r="E34" s="0" t="inlineStr">
        <is>
          <t>Długość pleców</t>
        </is>
      </c>
      <c r="F34" s="9">
        <v>61.0</v>
      </c>
      <c r="H34" s="3" t="str">
        <f>IF(G34="","",F34-G34)</f>
        <v/>
      </c>
      <c r="I34" s="2" t="str">
        <f>IF(H34="","",ABS(H34))</f>
        <v/>
      </c>
      <c r="K34" s="10" t="inlineStr">
        <is>
          <t>Brak rzeczywistego</t>
        </is>
      </c>
    </row>
    <row r="35">
      <c r="A35" s="0" t="inlineStr">
        <is>
          <t>BB-2photos-1.pdf</t>
        </is>
      </c>
      <c r="B35" s="0" t="inlineStr">
        <is>
          <t>BB</t>
        </is>
      </c>
      <c r="C35" s="4">
        <v>1</v>
      </c>
      <c r="D35" s="4">
        <v>2</v>
      </c>
      <c r="E35" s="0" t="inlineStr">
        <is>
          <t>Długość pleców do bioder</t>
        </is>
      </c>
      <c r="F35" s="9">
        <v>73.0</v>
      </c>
      <c r="H35" s="3" t="str">
        <f>IF(G35="","",F35-G35)</f>
        <v/>
      </c>
      <c r="I35" s="2" t="str">
        <f>IF(H35="","",ABS(H35))</f>
        <v/>
      </c>
      <c r="K35" s="10" t="inlineStr">
        <is>
          <t>Brak rzeczywistego</t>
        </is>
      </c>
    </row>
    <row r="36">
      <c r="A36" s="0" t="inlineStr">
        <is>
          <t>BB-2photos-1.pdf</t>
        </is>
      </c>
      <c r="B36" s="0" t="inlineStr">
        <is>
          <t>BB</t>
        </is>
      </c>
      <c r="C36" s="4">
        <v>1</v>
      </c>
      <c r="D36" s="4">
        <v>2</v>
      </c>
      <c r="E36" s="0" t="inlineStr">
        <is>
          <t>Obwód talii</t>
        </is>
      </c>
      <c r="F36" s="9">
        <v>111.0</v>
      </c>
      <c r="G36" s="9">
        <v>88.0</v>
      </c>
      <c r="H36" s="3">
        <f>IF(G36="","",F36-G36)</f>
        <v>23.0</v>
      </c>
      <c r="I36" s="2">
        <f>IF(H36="","",ABS(H36))</f>
        <v>23.0</v>
      </c>
      <c r="J36" s="3">
        <v>23.0</v>
      </c>
      <c r="K36" s="0" t="inlineStr">
        <is>
          <t>OK</t>
        </is>
      </c>
    </row>
    <row r="37">
      <c r="A37" s="0" t="inlineStr">
        <is>
          <t>BB-2photos-1.pdf</t>
        </is>
      </c>
      <c r="B37" s="0" t="inlineStr">
        <is>
          <t>BB</t>
        </is>
      </c>
      <c r="C37" s="4">
        <v>1</v>
      </c>
      <c r="D37" s="4">
        <v>2</v>
      </c>
      <c r="E37" s="0" t="inlineStr">
        <is>
          <t>Obwód bioder</t>
        </is>
      </c>
      <c r="F37" s="9">
        <v>115.0</v>
      </c>
      <c r="G37" s="9">
        <v>97.0</v>
      </c>
      <c r="H37" s="3">
        <f>IF(G37="","",F37-G37)</f>
        <v>18.0</v>
      </c>
      <c r="I37" s="2">
        <f>IF(H37="","",ABS(H37))</f>
        <v>18.0</v>
      </c>
      <c r="J37" s="3">
        <v>18.0</v>
      </c>
      <c r="K37" s="0" t="inlineStr">
        <is>
          <t>OK</t>
        </is>
      </c>
    </row>
    <row r="38">
      <c r="A38" s="0" t="inlineStr">
        <is>
          <t>BB-2photos-1.pdf</t>
        </is>
      </c>
      <c r="B38" s="0" t="inlineStr">
        <is>
          <t>BB</t>
        </is>
      </c>
      <c r="C38" s="4">
        <v>1</v>
      </c>
      <c r="D38" s="4">
        <v>2</v>
      </c>
      <c r="E38" s="0" t="inlineStr">
        <is>
          <t>Wysokość stanu</t>
        </is>
      </c>
      <c r="F38" s="9">
        <v>89.0</v>
      </c>
      <c r="G38" s="9">
        <v>73.0</v>
      </c>
      <c r="H38" s="3">
        <f>IF(G38="","",F38-G38)</f>
        <v>16.0</v>
      </c>
      <c r="I38" s="2">
        <f>IF(H38="","",ABS(H38))</f>
        <v>16.0</v>
      </c>
      <c r="J38" s="3">
        <v>16.0</v>
      </c>
      <c r="K38" s="0" t="inlineStr">
        <is>
          <t>OK</t>
        </is>
      </c>
    </row>
    <row r="39">
      <c r="A39" s="0" t="inlineStr">
        <is>
          <t>BB-2photos-1.pdf</t>
        </is>
      </c>
      <c r="B39" s="0" t="inlineStr">
        <is>
          <t>BB</t>
        </is>
      </c>
      <c r="C39" s="4">
        <v>1</v>
      </c>
      <c r="D39" s="4">
        <v>2</v>
      </c>
      <c r="E39" s="0" t="inlineStr">
        <is>
          <t>Obwód uda</t>
        </is>
      </c>
      <c r="F39" s="9">
        <v>58.0</v>
      </c>
      <c r="G39" s="9">
        <v>54.0</v>
      </c>
      <c r="H39" s="3">
        <f>IF(G39="","",F39-G39)</f>
        <v>4.0</v>
      </c>
      <c r="I39" s="2">
        <f>IF(H39="","",ABS(H39))</f>
        <v>4.0</v>
      </c>
      <c r="J39" s="3">
        <v>4.0</v>
      </c>
      <c r="K39" s="0" t="inlineStr">
        <is>
          <t>OK</t>
        </is>
      </c>
    </row>
    <row r="40">
      <c r="A40" s="0" t="inlineStr">
        <is>
          <t>BB-2photos-1.pdf</t>
        </is>
      </c>
      <c r="B40" s="0" t="inlineStr">
        <is>
          <t>BB</t>
        </is>
      </c>
      <c r="C40" s="4">
        <v>1</v>
      </c>
      <c r="D40" s="4">
        <v>2</v>
      </c>
      <c r="E40" s="0" t="inlineStr">
        <is>
          <t>Długość nogawki po wewnętrznej</t>
        </is>
      </c>
      <c r="F40" s="9">
        <v>66.0</v>
      </c>
      <c r="G40" s="9">
        <v>84.0</v>
      </c>
      <c r="H40" s="3">
        <f>IF(G40="","",F40-G40)</f>
        <v>-18.0</v>
      </c>
      <c r="I40" s="2">
        <f>IF(H40="","",ABS(H40))</f>
        <v>18.0</v>
      </c>
      <c r="J40" s="3">
        <v>-18.0</v>
      </c>
      <c r="K40" s="0" t="inlineStr">
        <is>
          <t>OK</t>
        </is>
      </c>
    </row>
    <row r="41">
      <c r="A41" s="0" t="inlineStr">
        <is>
          <t>BB-2photos-1.pdf</t>
        </is>
      </c>
      <c r="B41" s="0" t="inlineStr">
        <is>
          <t>BB</t>
        </is>
      </c>
      <c r="C41" s="4">
        <v>1</v>
      </c>
      <c r="D41" s="4">
        <v>2</v>
      </c>
      <c r="E41" s="0" t="inlineStr">
        <is>
          <t>Obwód kolana</t>
        </is>
      </c>
      <c r="F41" s="9">
        <v>46.0</v>
      </c>
      <c r="G41" s="9">
        <v>38.0</v>
      </c>
      <c r="H41" s="3">
        <f>IF(G41="","",F41-G41)</f>
        <v>8.0</v>
      </c>
      <c r="I41" s="2">
        <f>IF(H41="","",ABS(H41))</f>
        <v>8.0</v>
      </c>
      <c r="J41" s="3">
        <v>8.0</v>
      </c>
      <c r="K41" s="0" t="inlineStr">
        <is>
          <t>OK</t>
        </is>
      </c>
    </row>
    <row r="42">
      <c r="A42" s="0" t="inlineStr">
        <is>
          <t>BB-2photos-1.pdf</t>
        </is>
      </c>
      <c r="B42" s="0" t="inlineStr">
        <is>
          <t>BB</t>
        </is>
      </c>
      <c r="C42" s="4">
        <v>1</v>
      </c>
      <c r="D42" s="4">
        <v>2</v>
      </c>
      <c r="E42" s="0" t="inlineStr">
        <is>
          <t>Obwód łydki</t>
        </is>
      </c>
      <c r="F42" s="9">
        <v>41.0</v>
      </c>
      <c r="G42" s="9">
        <v>37.0</v>
      </c>
      <c r="H42" s="3">
        <f>IF(G42="","",F42-G42)</f>
        <v>4.0</v>
      </c>
      <c r="I42" s="2">
        <f>IF(H42="","",ABS(H42))</f>
        <v>4.0</v>
      </c>
      <c r="J42" s="3">
        <v>4.0</v>
      </c>
      <c r="K42" s="0" t="inlineStr">
        <is>
          <t>OK</t>
        </is>
      </c>
    </row>
    <row r="43">
      <c r="A43" s="0" t="inlineStr">
        <is>
          <t>BB-2photos-1.pdf</t>
        </is>
      </c>
      <c r="B43" s="0" t="inlineStr">
        <is>
          <t>BB</t>
        </is>
      </c>
      <c r="C43" s="4">
        <v>1</v>
      </c>
      <c r="D43" s="4">
        <v>2</v>
      </c>
      <c r="E43" s="0" t="inlineStr">
        <is>
          <t>Obwód kostki</t>
        </is>
      </c>
      <c r="F43" s="9">
        <v>36.0</v>
      </c>
      <c r="G43" s="9">
        <v>23.0</v>
      </c>
      <c r="H43" s="3">
        <f>IF(G43="","",F43-G43)</f>
        <v>13.0</v>
      </c>
      <c r="I43" s="2">
        <f>IF(H43="","",ABS(H43))</f>
        <v>13.0</v>
      </c>
      <c r="J43" s="3">
        <v>13.0</v>
      </c>
      <c r="K43" s="0" t="inlineStr">
        <is>
          <t>OK</t>
        </is>
      </c>
    </row>
    <row r="44">
      <c r="A44" s="0" t="inlineStr">
        <is>
          <t>JB-1photo-1.pdf</t>
        </is>
      </c>
      <c r="B44" s="0" t="inlineStr">
        <is>
          <t>JB</t>
        </is>
      </c>
      <c r="C44" s="4">
        <v>1</v>
      </c>
      <c r="D44" s="4">
        <v>1</v>
      </c>
      <c r="E44" s="0" t="inlineStr">
        <is>
          <t>Wzrost</t>
        </is>
      </c>
      <c r="F44" s="9">
        <v>186.0</v>
      </c>
      <c r="G44" s="9">
        <v>186.0</v>
      </c>
      <c r="H44" s="3">
        <f>IF(G44="","",F44-G44)</f>
        <v>0.0</v>
      </c>
      <c r="I44" s="2">
        <f>IF(H44="","",ABS(H44))</f>
        <v>0.0</v>
      </c>
      <c r="J44" s="3">
        <v>0.0</v>
      </c>
      <c r="K44" s="0" t="inlineStr">
        <is>
          <t>OK</t>
        </is>
      </c>
    </row>
    <row r="45">
      <c r="A45" s="0" t="inlineStr">
        <is>
          <t>JB-1photo-1.pdf</t>
        </is>
      </c>
      <c r="B45" s="0" t="inlineStr">
        <is>
          <t>JB</t>
        </is>
      </c>
      <c r="C45" s="4">
        <v>1</v>
      </c>
      <c r="D45" s="4">
        <v>1</v>
      </c>
      <c r="E45" s="0" t="inlineStr">
        <is>
          <t>Obwód szyi</t>
        </is>
      </c>
      <c r="F45" s="9">
        <v>41.0</v>
      </c>
      <c r="G45" s="9">
        <v>41.5</v>
      </c>
      <c r="H45" s="3">
        <f>IF(G45="","",F45-G45)</f>
        <v>-0.5</v>
      </c>
      <c r="I45" s="2">
        <f>IF(H45="","",ABS(H45))</f>
        <v>0.5</v>
      </c>
      <c r="J45" s="3">
        <v>-0.5</v>
      </c>
      <c r="K45" s="0" t="inlineStr">
        <is>
          <t>OK</t>
        </is>
      </c>
    </row>
    <row r="46">
      <c r="A46" s="0" t="inlineStr">
        <is>
          <t>JB-1photo-1.pdf</t>
        </is>
      </c>
      <c r="B46" s="0" t="inlineStr">
        <is>
          <t>JB</t>
        </is>
      </c>
      <c r="C46" s="4">
        <v>1</v>
      </c>
      <c r="D46" s="4">
        <v>1</v>
      </c>
      <c r="E46" s="0" t="inlineStr">
        <is>
          <t>Szerokość ramion</t>
        </is>
      </c>
      <c r="F46" s="9">
        <v>48.0</v>
      </c>
      <c r="G46" s="9">
        <v>46.0</v>
      </c>
      <c r="H46" s="3">
        <f>IF(G46="","",F46-G46)</f>
        <v>2.0</v>
      </c>
      <c r="I46" s="2">
        <f>IF(H46="","",ABS(H46))</f>
        <v>2.0</v>
      </c>
      <c r="J46" s="3">
        <v>2.0</v>
      </c>
      <c r="K46" s="0" t="inlineStr">
        <is>
          <t>OK</t>
        </is>
      </c>
    </row>
    <row r="47">
      <c r="A47" s="0" t="inlineStr">
        <is>
          <t>JB-1photo-1.pdf</t>
        </is>
      </c>
      <c r="B47" s="0" t="inlineStr">
        <is>
          <t>JB</t>
        </is>
      </c>
      <c r="C47" s="4">
        <v>1</v>
      </c>
      <c r="D47" s="4">
        <v>1</v>
      </c>
      <c r="E47" s="0" t="inlineStr">
        <is>
          <t>Obwód klatki piersiowej</t>
        </is>
      </c>
      <c r="F47" s="9">
        <v>97.0</v>
      </c>
      <c r="G47" s="9">
        <v>94.0</v>
      </c>
      <c r="H47" s="3">
        <f>IF(G47="","",F47-G47)</f>
        <v>3.0</v>
      </c>
      <c r="I47" s="2">
        <f>IF(H47="","",ABS(H47))</f>
        <v>3.0</v>
      </c>
      <c r="J47" s="3">
        <v>3.0</v>
      </c>
      <c r="K47" s="0" t="inlineStr">
        <is>
          <t>OK</t>
        </is>
      </c>
    </row>
    <row r="48">
      <c r="A48" s="0" t="inlineStr">
        <is>
          <t>JB-1photo-1.pdf</t>
        </is>
      </c>
      <c r="B48" s="0" t="inlineStr">
        <is>
          <t>JB</t>
        </is>
      </c>
      <c r="C48" s="4">
        <v>1</v>
      </c>
      <c r="D48" s="4">
        <v>1</v>
      </c>
      <c r="E48" s="0" t="inlineStr">
        <is>
          <t>Obwód biustu</t>
        </is>
      </c>
      <c r="F48" s="9">
        <v>97.0</v>
      </c>
      <c r="G48" s="9">
        <v>94.0</v>
      </c>
      <c r="H48" s="3">
        <f>IF(G48="","",F48-G48)</f>
        <v>3.0</v>
      </c>
      <c r="I48" s="2">
        <f>IF(H48="","",ABS(H48))</f>
        <v>3.0</v>
      </c>
      <c r="J48" s="3">
        <v>3.0</v>
      </c>
      <c r="K48" s="0" t="inlineStr">
        <is>
          <t>OK</t>
        </is>
      </c>
    </row>
    <row r="49">
      <c r="A49" s="0" t="inlineStr">
        <is>
          <t>JB-1photo-1.pdf</t>
        </is>
      </c>
      <c r="B49" s="0" t="inlineStr">
        <is>
          <t>JB</t>
        </is>
      </c>
      <c r="C49" s="4">
        <v>1</v>
      </c>
      <c r="D49" s="4">
        <v>1</v>
      </c>
      <c r="E49" s="0" t="inlineStr">
        <is>
          <t>Obwód pod biustem</t>
        </is>
      </c>
      <c r="F49" s="9">
        <v>92.0</v>
      </c>
      <c r="G49" s="9">
        <v>87.0</v>
      </c>
      <c r="H49" s="3">
        <f>IF(G49="","",F49-G49)</f>
        <v>5.0</v>
      </c>
      <c r="I49" s="2">
        <f>IF(H49="","",ABS(H49))</f>
        <v>5.0</v>
      </c>
      <c r="J49" s="3">
        <v>5.0</v>
      </c>
      <c r="K49" s="0" t="inlineStr">
        <is>
          <t>OK</t>
        </is>
      </c>
    </row>
    <row r="50">
      <c r="A50" s="0" t="inlineStr">
        <is>
          <t>JB-1photo-1.pdf</t>
        </is>
      </c>
      <c r="B50" s="0" t="inlineStr">
        <is>
          <t>JB</t>
        </is>
      </c>
      <c r="C50" s="4">
        <v>1</v>
      </c>
      <c r="D50" s="4">
        <v>1</v>
      </c>
      <c r="E50" s="0" t="inlineStr">
        <is>
          <t>Długość ramienia</t>
        </is>
      </c>
      <c r="F50" s="9">
        <v>63.0</v>
      </c>
      <c r="G50" s="9">
        <v>62.0</v>
      </c>
      <c r="H50" s="3">
        <f>IF(G50="","",F50-G50)</f>
        <v>1.0</v>
      </c>
      <c r="I50" s="2">
        <f>IF(H50="","",ABS(H50))</f>
        <v>1.0</v>
      </c>
      <c r="J50" s="3">
        <v>1.0</v>
      </c>
      <c r="K50" s="0" t="inlineStr">
        <is>
          <t>OK</t>
        </is>
      </c>
    </row>
    <row r="51">
      <c r="A51" s="0" t="inlineStr">
        <is>
          <t>JB-1photo-1.pdf</t>
        </is>
      </c>
      <c r="B51" s="0" t="inlineStr">
        <is>
          <t>JB</t>
        </is>
      </c>
      <c r="C51" s="4">
        <v>1</v>
      </c>
      <c r="D51" s="4">
        <v>1</v>
      </c>
      <c r="E51" s="0" t="inlineStr">
        <is>
          <t>Obwód ramienia</t>
        </is>
      </c>
      <c r="F51" s="9">
        <v>22.0</v>
      </c>
      <c r="G51" s="9">
        <v>30.0</v>
      </c>
      <c r="H51" s="3">
        <f>IF(G51="","",F51-G51)</f>
        <v>-8.0</v>
      </c>
      <c r="I51" s="2">
        <f>IF(H51="","",ABS(H51))</f>
        <v>8.0</v>
      </c>
      <c r="J51" s="3">
        <v>-8.0</v>
      </c>
      <c r="K51" s="0" t="inlineStr">
        <is>
          <t>OK</t>
        </is>
      </c>
    </row>
    <row r="52">
      <c r="A52" s="0" t="inlineStr">
        <is>
          <t>JB-1photo-1.pdf</t>
        </is>
      </c>
      <c r="B52" s="0" t="inlineStr">
        <is>
          <t>JB</t>
        </is>
      </c>
      <c r="C52" s="4">
        <v>1</v>
      </c>
      <c r="D52" s="4">
        <v>1</v>
      </c>
      <c r="E52" s="0" t="inlineStr">
        <is>
          <t>Obwód nadgarstka</t>
        </is>
      </c>
      <c r="F52" s="9">
        <v>13.0</v>
      </c>
      <c r="G52" s="9">
        <v>17.0</v>
      </c>
      <c r="H52" s="3">
        <f>IF(G52="","",F52-G52)</f>
        <v>-4.0</v>
      </c>
      <c r="I52" s="2">
        <f>IF(H52="","",ABS(H52))</f>
        <v>4.0</v>
      </c>
      <c r="J52" s="3">
        <v>-4.0</v>
      </c>
      <c r="K52" s="0" t="inlineStr">
        <is>
          <t>OK</t>
        </is>
      </c>
    </row>
    <row r="53">
      <c r="A53" s="0" t="inlineStr">
        <is>
          <t>JB-1photo-1.pdf</t>
        </is>
      </c>
      <c r="B53" s="0" t="inlineStr">
        <is>
          <t>JB</t>
        </is>
      </c>
      <c r="C53" s="4">
        <v>1</v>
      </c>
      <c r="D53" s="4">
        <v>1</v>
      </c>
      <c r="E53" s="0" t="inlineStr">
        <is>
          <t>Długość tułowia</t>
        </is>
      </c>
      <c r="F53" s="9">
        <v>68.0</v>
      </c>
      <c r="G53" s="9">
        <v>44.0</v>
      </c>
      <c r="H53" s="3">
        <f>IF(G53="","",F53-G53)</f>
        <v>24.0</v>
      </c>
      <c r="I53" s="2">
        <f>IF(H53="","",ABS(H53))</f>
        <v>24.0</v>
      </c>
      <c r="J53" s="3">
        <v>24.0</v>
      </c>
      <c r="K53" s="0" t="inlineStr">
        <is>
          <t>OK</t>
        </is>
      </c>
    </row>
    <row r="54">
      <c r="A54" s="0" t="inlineStr">
        <is>
          <t>JB-1photo-1.pdf</t>
        </is>
      </c>
      <c r="B54" s="0" t="inlineStr">
        <is>
          <t>JB</t>
        </is>
      </c>
      <c r="C54" s="4">
        <v>1</v>
      </c>
      <c r="D54" s="4">
        <v>1</v>
      </c>
      <c r="E54" s="0" t="inlineStr">
        <is>
          <t>Długość przodu</t>
        </is>
      </c>
      <c r="F54" s="9">
        <v>59.0</v>
      </c>
      <c r="G54" s="9">
        <v>54.0</v>
      </c>
      <c r="H54" s="3">
        <f>IF(G54="","",F54-G54)</f>
        <v>5.0</v>
      </c>
      <c r="I54" s="2">
        <f>IF(H54="","",ABS(H54))</f>
        <v>5.0</v>
      </c>
      <c r="J54" s="3">
        <v>5.0</v>
      </c>
      <c r="K54" s="0" t="inlineStr">
        <is>
          <t>OK</t>
        </is>
      </c>
    </row>
    <row r="55">
      <c r="A55" s="0" t="inlineStr">
        <is>
          <t>JB-1photo-1.pdf</t>
        </is>
      </c>
      <c r="B55" s="0" t="inlineStr">
        <is>
          <t>JB</t>
        </is>
      </c>
      <c r="C55" s="4">
        <v>1</v>
      </c>
      <c r="D55" s="4">
        <v>1</v>
      </c>
      <c r="E55" s="0" t="inlineStr">
        <is>
          <t>Długość pleców</t>
        </is>
      </c>
      <c r="F55" s="9">
        <v>56.0</v>
      </c>
      <c r="G55" s="9">
        <v>55.0</v>
      </c>
      <c r="H55" s="3">
        <f>IF(G55="","",F55-G55)</f>
        <v>1.0</v>
      </c>
      <c r="I55" s="2">
        <f>IF(H55="","",ABS(H55))</f>
        <v>1.0</v>
      </c>
      <c r="J55" s="3">
        <v>1.0</v>
      </c>
      <c r="K55" s="0" t="inlineStr">
        <is>
          <t>OK</t>
        </is>
      </c>
    </row>
    <row r="56">
      <c r="A56" s="0" t="inlineStr">
        <is>
          <t>JB-1photo-1.pdf</t>
        </is>
      </c>
      <c r="B56" s="0" t="inlineStr">
        <is>
          <t>JB</t>
        </is>
      </c>
      <c r="C56" s="4">
        <v>1</v>
      </c>
      <c r="D56" s="4">
        <v>1</v>
      </c>
      <c r="E56" s="0" t="inlineStr">
        <is>
          <t>Długość pleców do bioder</t>
        </is>
      </c>
      <c r="F56" s="9">
        <v>68.0</v>
      </c>
      <c r="G56" s="9">
        <v>58.0</v>
      </c>
      <c r="H56" s="3">
        <f>IF(G56="","",F56-G56)</f>
        <v>10.0</v>
      </c>
      <c r="I56" s="2">
        <f>IF(H56="","",ABS(H56))</f>
        <v>10.0</v>
      </c>
      <c r="J56" s="3">
        <v>10.0</v>
      </c>
      <c r="K56" s="0" t="inlineStr">
        <is>
          <t>OK</t>
        </is>
      </c>
    </row>
    <row r="57">
      <c r="A57" s="0" t="inlineStr">
        <is>
          <t>JB-1photo-1.pdf</t>
        </is>
      </c>
      <c r="B57" s="0" t="inlineStr">
        <is>
          <t>JB</t>
        </is>
      </c>
      <c r="C57" s="4">
        <v>1</v>
      </c>
      <c r="D57" s="4">
        <v>1</v>
      </c>
      <c r="E57" s="0" t="inlineStr">
        <is>
          <t>Obwód talii</t>
        </is>
      </c>
      <c r="F57" s="9">
        <v>104.0</v>
      </c>
      <c r="G57" s="9">
        <v>77.0</v>
      </c>
      <c r="H57" s="3">
        <f>IF(G57="","",F57-G57)</f>
        <v>27.0</v>
      </c>
      <c r="I57" s="2">
        <f>IF(H57="","",ABS(H57))</f>
        <v>27.0</v>
      </c>
      <c r="J57" s="3">
        <v>27.0</v>
      </c>
      <c r="K57" s="0" t="inlineStr">
        <is>
          <t>OK</t>
        </is>
      </c>
    </row>
    <row r="58">
      <c r="A58" s="0" t="inlineStr">
        <is>
          <t>JB-1photo-1.pdf</t>
        </is>
      </c>
      <c r="B58" s="0" t="inlineStr">
        <is>
          <t>JB</t>
        </is>
      </c>
      <c r="C58" s="4">
        <v>1</v>
      </c>
      <c r="D58" s="4">
        <v>1</v>
      </c>
      <c r="E58" s="0" t="inlineStr">
        <is>
          <t>Obwód bioder</t>
        </is>
      </c>
      <c r="F58" s="9">
        <v>120.0</v>
      </c>
      <c r="G58" s="9">
        <v>79.0</v>
      </c>
      <c r="H58" s="3">
        <f>IF(G58="","",F58-G58)</f>
        <v>41.0</v>
      </c>
      <c r="I58" s="2">
        <f>IF(H58="","",ABS(H58))</f>
        <v>41.0</v>
      </c>
      <c r="J58" s="3">
        <v>41.0</v>
      </c>
      <c r="K58" s="0" t="inlineStr">
        <is>
          <t>OK</t>
        </is>
      </c>
    </row>
    <row r="59">
      <c r="A59" s="0" t="inlineStr">
        <is>
          <t>JB-1photo-1.pdf</t>
        </is>
      </c>
      <c r="B59" s="0" t="inlineStr">
        <is>
          <t>JB</t>
        </is>
      </c>
      <c r="C59" s="4">
        <v>1</v>
      </c>
      <c r="D59" s="4">
        <v>1</v>
      </c>
      <c r="E59" s="0" t="inlineStr">
        <is>
          <t>Wysokość stanu</t>
        </is>
      </c>
      <c r="F59" s="9">
        <v>93.0</v>
      </c>
      <c r="G59" s="9">
        <v>72.0</v>
      </c>
      <c r="H59" s="3">
        <f>IF(G59="","",F59-G59)</f>
        <v>21.0</v>
      </c>
      <c r="I59" s="2">
        <f>IF(H59="","",ABS(H59))</f>
        <v>21.0</v>
      </c>
      <c r="J59" s="3">
        <v>21.0</v>
      </c>
      <c r="K59" s="0" t="inlineStr">
        <is>
          <t>OK</t>
        </is>
      </c>
    </row>
    <row r="60">
      <c r="A60" s="0" t="inlineStr">
        <is>
          <t>JB-1photo-1.pdf</t>
        </is>
      </c>
      <c r="B60" s="0" t="inlineStr">
        <is>
          <t>JB</t>
        </is>
      </c>
      <c r="C60" s="4">
        <v>1</v>
      </c>
      <c r="D60" s="4">
        <v>1</v>
      </c>
      <c r="E60" s="0" t="inlineStr">
        <is>
          <t>Obwód uda</t>
        </is>
      </c>
      <c r="F60" s="9">
        <v>67.0</v>
      </c>
      <c r="G60" s="9">
        <v>53.0</v>
      </c>
      <c r="H60" s="3">
        <f>IF(G60="","",F60-G60)</f>
        <v>14.0</v>
      </c>
      <c r="I60" s="2">
        <f>IF(H60="","",ABS(H60))</f>
        <v>14.0</v>
      </c>
      <c r="J60" s="3">
        <v>14.0</v>
      </c>
      <c r="K60" s="0" t="inlineStr">
        <is>
          <t>OK</t>
        </is>
      </c>
    </row>
    <row r="61">
      <c r="A61" s="0" t="inlineStr">
        <is>
          <t>JB-1photo-1.pdf</t>
        </is>
      </c>
      <c r="B61" s="0" t="inlineStr">
        <is>
          <t>JB</t>
        </is>
      </c>
      <c r="C61" s="4">
        <v>1</v>
      </c>
      <c r="D61" s="4">
        <v>1</v>
      </c>
      <c r="E61" s="0" t="inlineStr">
        <is>
          <t>Długość nogawki po wewnętrznej</t>
        </is>
      </c>
      <c r="F61" s="9">
        <v>83.0</v>
      </c>
      <c r="G61" s="9">
        <v>79.0</v>
      </c>
      <c r="H61" s="3">
        <f>IF(G61="","",F61-G61)</f>
        <v>4.0</v>
      </c>
      <c r="I61" s="2">
        <f>IF(H61="","",ABS(H61))</f>
        <v>4.0</v>
      </c>
      <c r="J61" s="3">
        <v>4.0</v>
      </c>
      <c r="K61" s="0" t="inlineStr">
        <is>
          <t>OK</t>
        </is>
      </c>
    </row>
    <row r="62">
      <c r="A62" s="0" t="inlineStr">
        <is>
          <t>JB-1photo-1.pdf</t>
        </is>
      </c>
      <c r="B62" s="0" t="inlineStr">
        <is>
          <t>JB</t>
        </is>
      </c>
      <c r="C62" s="4">
        <v>1</v>
      </c>
      <c r="D62" s="4">
        <v>1</v>
      </c>
      <c r="E62" s="0" t="inlineStr">
        <is>
          <t>Obwód kolana</t>
        </is>
      </c>
      <c r="F62" s="9">
        <v>65.0</v>
      </c>
      <c r="G62" s="9">
        <v>38.0</v>
      </c>
      <c r="H62" s="3">
        <f>IF(G62="","",F62-G62)</f>
        <v>27.0</v>
      </c>
      <c r="I62" s="2">
        <f>IF(H62="","",ABS(H62))</f>
        <v>27.0</v>
      </c>
      <c r="J62" s="3">
        <v>27.0</v>
      </c>
      <c r="K62" s="0" t="inlineStr">
        <is>
          <t>OK</t>
        </is>
      </c>
    </row>
    <row r="63">
      <c r="A63" s="0" t="inlineStr">
        <is>
          <t>JB-1photo-1.pdf</t>
        </is>
      </c>
      <c r="B63" s="0" t="inlineStr">
        <is>
          <t>JB</t>
        </is>
      </c>
      <c r="C63" s="4">
        <v>1</v>
      </c>
      <c r="D63" s="4">
        <v>1</v>
      </c>
      <c r="E63" s="0" t="inlineStr">
        <is>
          <t>Obwód łydki</t>
        </is>
      </c>
      <c r="F63" s="9">
        <v>21.0</v>
      </c>
      <c r="G63" s="9">
        <v>34.0</v>
      </c>
      <c r="H63" s="3">
        <f>IF(G63="","",F63-G63)</f>
        <v>-13.0</v>
      </c>
      <c r="I63" s="2">
        <f>IF(H63="","",ABS(H63))</f>
        <v>13.0</v>
      </c>
      <c r="J63" s="3">
        <v>-13.0</v>
      </c>
      <c r="K63" s="0" t="inlineStr">
        <is>
          <t>OK</t>
        </is>
      </c>
    </row>
    <row r="64">
      <c r="A64" s="0" t="inlineStr">
        <is>
          <t>JB-1photo-1.pdf</t>
        </is>
      </c>
      <c r="B64" s="0" t="inlineStr">
        <is>
          <t>JB</t>
        </is>
      </c>
      <c r="C64" s="4">
        <v>1</v>
      </c>
      <c r="D64" s="4">
        <v>1</v>
      </c>
      <c r="E64" s="0" t="inlineStr">
        <is>
          <t>Obwód kostki</t>
        </is>
      </c>
      <c r="F64" s="9">
        <v>15.0</v>
      </c>
      <c r="G64" s="9">
        <v>22.0</v>
      </c>
      <c r="H64" s="3">
        <f>IF(G64="","",F64-G64)</f>
        <v>-7.0</v>
      </c>
      <c r="I64" s="2">
        <f>IF(H64="","",ABS(H64))</f>
        <v>7.0</v>
      </c>
      <c r="J64" s="3">
        <v>-7.0</v>
      </c>
      <c r="K64" s="0" t="inlineStr">
        <is>
          <t>OK</t>
        </is>
      </c>
    </row>
    <row r="65">
      <c r="A65" s="0" t="inlineStr">
        <is>
          <t>JB-1photo-2.pdf</t>
        </is>
      </c>
      <c r="B65" s="0" t="inlineStr">
        <is>
          <t>JB</t>
        </is>
      </c>
      <c r="C65" s="4">
        <v>2</v>
      </c>
      <c r="D65" s="4">
        <v>1</v>
      </c>
      <c r="E65" s="0" t="inlineStr">
        <is>
          <t>Wzrost</t>
        </is>
      </c>
      <c r="F65" s="9">
        <v>186.0</v>
      </c>
      <c r="G65" s="9">
        <v>186.0</v>
      </c>
      <c r="H65" s="3">
        <f>IF(G65="","",F65-G65)</f>
        <v>0.0</v>
      </c>
      <c r="I65" s="2">
        <f>IF(H65="","",ABS(H65))</f>
        <v>0.0</v>
      </c>
      <c r="J65" s="3">
        <v>0.0</v>
      </c>
      <c r="K65" s="0" t="inlineStr">
        <is>
          <t>OK</t>
        </is>
      </c>
    </row>
    <row r="66">
      <c r="A66" s="0" t="inlineStr">
        <is>
          <t>JB-1photo-2.pdf</t>
        </is>
      </c>
      <c r="B66" s="0" t="inlineStr">
        <is>
          <t>JB</t>
        </is>
      </c>
      <c r="C66" s="4">
        <v>2</v>
      </c>
      <c r="D66" s="4">
        <v>1</v>
      </c>
      <c r="E66" s="0" t="inlineStr">
        <is>
          <t>Obwód szyi</t>
        </is>
      </c>
      <c r="F66" s="9">
        <v>42.0</v>
      </c>
      <c r="G66" s="9">
        <v>41.5</v>
      </c>
      <c r="H66" s="3">
        <f>IF(G66="","",F66-G66)</f>
        <v>0.5</v>
      </c>
      <c r="I66" s="2">
        <f>IF(H66="","",ABS(H66))</f>
        <v>0.5</v>
      </c>
      <c r="J66" s="3">
        <v>0.5</v>
      </c>
      <c r="K66" s="0" t="inlineStr">
        <is>
          <t>OK</t>
        </is>
      </c>
    </row>
    <row r="67">
      <c r="A67" s="0" t="inlineStr">
        <is>
          <t>JB-1photo-2.pdf</t>
        </is>
      </c>
      <c r="B67" s="0" t="inlineStr">
        <is>
          <t>JB</t>
        </is>
      </c>
      <c r="C67" s="4">
        <v>2</v>
      </c>
      <c r="D67" s="4">
        <v>1</v>
      </c>
      <c r="E67" s="0" t="inlineStr">
        <is>
          <t>Szerokość ramion</t>
        </is>
      </c>
      <c r="F67" s="9">
        <v>49.0</v>
      </c>
      <c r="G67" s="9">
        <v>46.0</v>
      </c>
      <c r="H67" s="3">
        <f>IF(G67="","",F67-G67)</f>
        <v>3.0</v>
      </c>
      <c r="I67" s="2">
        <f>IF(H67="","",ABS(H67))</f>
        <v>3.0</v>
      </c>
      <c r="J67" s="3">
        <v>3.0</v>
      </c>
      <c r="K67" s="0" t="inlineStr">
        <is>
          <t>OK</t>
        </is>
      </c>
    </row>
    <row r="68">
      <c r="A68" s="0" t="inlineStr">
        <is>
          <t>JB-1photo-2.pdf</t>
        </is>
      </c>
      <c r="B68" s="0" t="inlineStr">
        <is>
          <t>JB</t>
        </is>
      </c>
      <c r="C68" s="4">
        <v>2</v>
      </c>
      <c r="D68" s="4">
        <v>1</v>
      </c>
      <c r="E68" s="0" t="inlineStr">
        <is>
          <t>Obwód klatki piersiowej</t>
        </is>
      </c>
      <c r="F68" s="9">
        <v>99.0</v>
      </c>
      <c r="G68" s="9">
        <v>94.0</v>
      </c>
      <c r="H68" s="3">
        <f>IF(G68="","",F68-G68)</f>
        <v>5.0</v>
      </c>
      <c r="I68" s="2">
        <f>IF(H68="","",ABS(H68))</f>
        <v>5.0</v>
      </c>
      <c r="J68" s="3">
        <v>5.0</v>
      </c>
      <c r="K68" s="0" t="inlineStr">
        <is>
          <t>OK</t>
        </is>
      </c>
    </row>
    <row r="69">
      <c r="A69" s="0" t="inlineStr">
        <is>
          <t>JB-1photo-2.pdf</t>
        </is>
      </c>
      <c r="B69" s="0" t="inlineStr">
        <is>
          <t>JB</t>
        </is>
      </c>
      <c r="C69" s="4">
        <v>2</v>
      </c>
      <c r="D69" s="4">
        <v>1</v>
      </c>
      <c r="E69" s="0" t="inlineStr">
        <is>
          <t>Obwód biustu</t>
        </is>
      </c>
      <c r="F69" s="9">
        <v>99.0</v>
      </c>
      <c r="G69" s="9">
        <v>94.0</v>
      </c>
      <c r="H69" s="3">
        <f>IF(G69="","",F69-G69)</f>
        <v>5.0</v>
      </c>
      <c r="I69" s="2">
        <f>IF(H69="","",ABS(H69))</f>
        <v>5.0</v>
      </c>
      <c r="J69" s="3">
        <v>5.0</v>
      </c>
      <c r="K69" s="0" t="inlineStr">
        <is>
          <t>OK</t>
        </is>
      </c>
    </row>
    <row r="70">
      <c r="A70" s="0" t="inlineStr">
        <is>
          <t>JB-1photo-2.pdf</t>
        </is>
      </c>
      <c r="B70" s="0" t="inlineStr">
        <is>
          <t>JB</t>
        </is>
      </c>
      <c r="C70" s="4">
        <v>2</v>
      </c>
      <c r="D70" s="4">
        <v>1</v>
      </c>
      <c r="E70" s="0" t="inlineStr">
        <is>
          <t>Obwód pod biustem</t>
        </is>
      </c>
      <c r="F70" s="9">
        <v>94.0</v>
      </c>
      <c r="G70" s="9">
        <v>87.0</v>
      </c>
      <c r="H70" s="3">
        <f>IF(G70="","",F70-G70)</f>
        <v>7.0</v>
      </c>
      <c r="I70" s="2">
        <f>IF(H70="","",ABS(H70))</f>
        <v>7.0</v>
      </c>
      <c r="J70" s="3">
        <v>7.0</v>
      </c>
      <c r="K70" s="0" t="inlineStr">
        <is>
          <t>OK</t>
        </is>
      </c>
    </row>
    <row r="71">
      <c r="A71" s="0" t="inlineStr">
        <is>
          <t>JB-1photo-2.pdf</t>
        </is>
      </c>
      <c r="B71" s="0" t="inlineStr">
        <is>
          <t>JB</t>
        </is>
      </c>
      <c r="C71" s="4">
        <v>2</v>
      </c>
      <c r="D71" s="4">
        <v>1</v>
      </c>
      <c r="E71" s="0" t="inlineStr">
        <is>
          <t>Długość ramienia</t>
        </is>
      </c>
      <c r="F71" s="9">
        <v>64.0</v>
      </c>
      <c r="G71" s="9">
        <v>62.0</v>
      </c>
      <c r="H71" s="3">
        <f>IF(G71="","",F71-G71)</f>
        <v>2.0</v>
      </c>
      <c r="I71" s="2">
        <f>IF(H71="","",ABS(H71))</f>
        <v>2.0</v>
      </c>
      <c r="J71" s="3">
        <v>2.0</v>
      </c>
      <c r="K71" s="0" t="inlineStr">
        <is>
          <t>OK</t>
        </is>
      </c>
    </row>
    <row r="72">
      <c r="A72" s="0" t="inlineStr">
        <is>
          <t>JB-1photo-2.pdf</t>
        </is>
      </c>
      <c r="B72" s="0" t="inlineStr">
        <is>
          <t>JB</t>
        </is>
      </c>
      <c r="C72" s="4">
        <v>2</v>
      </c>
      <c r="D72" s="4">
        <v>1</v>
      </c>
      <c r="E72" s="0" t="inlineStr">
        <is>
          <t>Obwód ramienia</t>
        </is>
      </c>
      <c r="F72" s="9">
        <v>22.0</v>
      </c>
      <c r="G72" s="9">
        <v>30.0</v>
      </c>
      <c r="H72" s="3">
        <f>IF(G72="","",F72-G72)</f>
        <v>-8.0</v>
      </c>
      <c r="I72" s="2">
        <f>IF(H72="","",ABS(H72))</f>
        <v>8.0</v>
      </c>
      <c r="J72" s="3">
        <v>-8.0</v>
      </c>
      <c r="K72" s="0" t="inlineStr">
        <is>
          <t>OK</t>
        </is>
      </c>
    </row>
    <row r="73">
      <c r="A73" s="0" t="inlineStr">
        <is>
          <t>JB-1photo-2.pdf</t>
        </is>
      </c>
      <c r="B73" s="0" t="inlineStr">
        <is>
          <t>JB</t>
        </is>
      </c>
      <c r="C73" s="4">
        <v>2</v>
      </c>
      <c r="D73" s="4">
        <v>1</v>
      </c>
      <c r="E73" s="0" t="inlineStr">
        <is>
          <t>Obwód nadgarstka</t>
        </is>
      </c>
      <c r="F73" s="9">
        <v>14.0</v>
      </c>
      <c r="G73" s="9">
        <v>17.0</v>
      </c>
      <c r="H73" s="3">
        <f>IF(G73="","",F73-G73)</f>
        <v>-3.0</v>
      </c>
      <c r="I73" s="2">
        <f>IF(H73="","",ABS(H73))</f>
        <v>3.0</v>
      </c>
      <c r="J73" s="3">
        <v>-3.0</v>
      </c>
      <c r="K73" s="0" t="inlineStr">
        <is>
          <t>OK</t>
        </is>
      </c>
    </row>
    <row r="74">
      <c r="A74" s="0" t="inlineStr">
        <is>
          <t>JB-1photo-2.pdf</t>
        </is>
      </c>
      <c r="B74" s="0" t="inlineStr">
        <is>
          <t>JB</t>
        </is>
      </c>
      <c r="C74" s="4">
        <v>2</v>
      </c>
      <c r="D74" s="4">
        <v>1</v>
      </c>
      <c r="E74" s="0" t="inlineStr">
        <is>
          <t>Długość tułowia</t>
        </is>
      </c>
      <c r="F74" s="9">
        <v>68.0</v>
      </c>
      <c r="G74" s="9">
        <v>44.0</v>
      </c>
      <c r="H74" s="3">
        <f>IF(G74="","",F74-G74)</f>
        <v>24.0</v>
      </c>
      <c r="I74" s="2">
        <f>IF(H74="","",ABS(H74))</f>
        <v>24.0</v>
      </c>
      <c r="J74" s="3">
        <v>24.0</v>
      </c>
      <c r="K74" s="0" t="inlineStr">
        <is>
          <t>OK</t>
        </is>
      </c>
    </row>
    <row r="75">
      <c r="A75" s="0" t="inlineStr">
        <is>
          <t>JB-1photo-2.pdf</t>
        </is>
      </c>
      <c r="B75" s="0" t="inlineStr">
        <is>
          <t>JB</t>
        </is>
      </c>
      <c r="C75" s="4">
        <v>2</v>
      </c>
      <c r="D75" s="4">
        <v>1</v>
      </c>
      <c r="E75" s="0" t="inlineStr">
        <is>
          <t>Długość przodu</t>
        </is>
      </c>
      <c r="F75" s="9">
        <v>59.0</v>
      </c>
      <c r="G75" s="9">
        <v>54.0</v>
      </c>
      <c r="H75" s="3">
        <f>IF(G75="","",F75-G75)</f>
        <v>5.0</v>
      </c>
      <c r="I75" s="2">
        <f>IF(H75="","",ABS(H75))</f>
        <v>5.0</v>
      </c>
      <c r="J75" s="3">
        <v>5.0</v>
      </c>
      <c r="K75" s="0" t="inlineStr">
        <is>
          <t>OK</t>
        </is>
      </c>
    </row>
    <row r="76">
      <c r="A76" s="0" t="inlineStr">
        <is>
          <t>JB-1photo-2.pdf</t>
        </is>
      </c>
      <c r="B76" s="0" t="inlineStr">
        <is>
          <t>JB</t>
        </is>
      </c>
      <c r="C76" s="4">
        <v>2</v>
      </c>
      <c r="D76" s="4">
        <v>1</v>
      </c>
      <c r="E76" s="0" t="inlineStr">
        <is>
          <t>Długość pleców</t>
        </is>
      </c>
      <c r="F76" s="9">
        <v>57.0</v>
      </c>
      <c r="G76" s="9">
        <v>55.0</v>
      </c>
      <c r="H76" s="3">
        <f>IF(G76="","",F76-G76)</f>
        <v>2.0</v>
      </c>
      <c r="I76" s="2">
        <f>IF(H76="","",ABS(H76))</f>
        <v>2.0</v>
      </c>
      <c r="J76" s="3">
        <v>2.0</v>
      </c>
      <c r="K76" s="0" t="inlineStr">
        <is>
          <t>OK</t>
        </is>
      </c>
    </row>
    <row r="77">
      <c r="A77" s="0" t="inlineStr">
        <is>
          <t>JB-1photo-2.pdf</t>
        </is>
      </c>
      <c r="B77" s="0" t="inlineStr">
        <is>
          <t>JB</t>
        </is>
      </c>
      <c r="C77" s="4">
        <v>2</v>
      </c>
      <c r="D77" s="4">
        <v>1</v>
      </c>
      <c r="E77" s="0" t="inlineStr">
        <is>
          <t>Długość pleców do bioder</t>
        </is>
      </c>
      <c r="F77" s="9">
        <v>68.0</v>
      </c>
      <c r="G77" s="9">
        <v>58.0</v>
      </c>
      <c r="H77" s="3">
        <f>IF(G77="","",F77-G77)</f>
        <v>10.0</v>
      </c>
      <c r="I77" s="2">
        <f>IF(H77="","",ABS(H77))</f>
        <v>10.0</v>
      </c>
      <c r="J77" s="3">
        <v>10.0</v>
      </c>
      <c r="K77" s="0" t="inlineStr">
        <is>
          <t>OK</t>
        </is>
      </c>
    </row>
    <row r="78">
      <c r="A78" s="0" t="inlineStr">
        <is>
          <t>JB-1photo-2.pdf</t>
        </is>
      </c>
      <c r="B78" s="0" t="inlineStr">
        <is>
          <t>JB</t>
        </is>
      </c>
      <c r="C78" s="4">
        <v>2</v>
      </c>
      <c r="D78" s="4">
        <v>1</v>
      </c>
      <c r="E78" s="0" t="inlineStr">
        <is>
          <t>Obwód talii</t>
        </is>
      </c>
      <c r="F78" s="9">
        <v>106.0</v>
      </c>
      <c r="G78" s="9">
        <v>77.0</v>
      </c>
      <c r="H78" s="3">
        <f>IF(G78="","",F78-G78)</f>
        <v>29.0</v>
      </c>
      <c r="I78" s="2">
        <f>IF(H78="","",ABS(H78))</f>
        <v>29.0</v>
      </c>
      <c r="J78" s="3">
        <v>29.0</v>
      </c>
      <c r="K78" s="0" t="inlineStr">
        <is>
          <t>OK</t>
        </is>
      </c>
    </row>
    <row r="79">
      <c r="A79" s="0" t="inlineStr">
        <is>
          <t>JB-1photo-2.pdf</t>
        </is>
      </c>
      <c r="B79" s="0" t="inlineStr">
        <is>
          <t>JB</t>
        </is>
      </c>
      <c r="C79" s="4">
        <v>2</v>
      </c>
      <c r="D79" s="4">
        <v>1</v>
      </c>
      <c r="E79" s="0" t="inlineStr">
        <is>
          <t>Obwód bioder</t>
        </is>
      </c>
      <c r="F79" s="9">
        <v>121.0</v>
      </c>
      <c r="G79" s="9">
        <v>79.0</v>
      </c>
      <c r="H79" s="3">
        <f>IF(G79="","",F79-G79)</f>
        <v>42.0</v>
      </c>
      <c r="I79" s="2">
        <f>IF(H79="","",ABS(H79))</f>
        <v>42.0</v>
      </c>
      <c r="J79" s="3">
        <v>42.0</v>
      </c>
      <c r="K79" s="0" t="inlineStr">
        <is>
          <t>OK</t>
        </is>
      </c>
    </row>
    <row r="80">
      <c r="A80" s="0" t="inlineStr">
        <is>
          <t>JB-1photo-2.pdf</t>
        </is>
      </c>
      <c r="B80" s="0" t="inlineStr">
        <is>
          <t>JB</t>
        </is>
      </c>
      <c r="C80" s="4">
        <v>2</v>
      </c>
      <c r="D80" s="4">
        <v>1</v>
      </c>
      <c r="E80" s="0" t="inlineStr">
        <is>
          <t>Wysokość stanu</t>
        </is>
      </c>
      <c r="F80" s="9">
        <v>94.0</v>
      </c>
      <c r="G80" s="9">
        <v>72.0</v>
      </c>
      <c r="H80" s="3">
        <f>IF(G80="","",F80-G80)</f>
        <v>22.0</v>
      </c>
      <c r="I80" s="2">
        <f>IF(H80="","",ABS(H80))</f>
        <v>22.0</v>
      </c>
      <c r="J80" s="3">
        <v>22.0</v>
      </c>
      <c r="K80" s="0" t="inlineStr">
        <is>
          <t>OK</t>
        </is>
      </c>
    </row>
    <row r="81">
      <c r="A81" s="0" t="inlineStr">
        <is>
          <t>JB-1photo-2.pdf</t>
        </is>
      </c>
      <c r="B81" s="0" t="inlineStr">
        <is>
          <t>JB</t>
        </is>
      </c>
      <c r="C81" s="4">
        <v>2</v>
      </c>
      <c r="D81" s="4">
        <v>1</v>
      </c>
      <c r="E81" s="0" t="inlineStr">
        <is>
          <t>Obwód uda</t>
        </is>
      </c>
      <c r="F81" s="9">
        <v>67.0</v>
      </c>
      <c r="G81" s="9">
        <v>53.0</v>
      </c>
      <c r="H81" s="3">
        <f>IF(G81="","",F81-G81)</f>
        <v>14.0</v>
      </c>
      <c r="I81" s="2">
        <f>IF(H81="","",ABS(H81))</f>
        <v>14.0</v>
      </c>
      <c r="J81" s="3">
        <v>14.0</v>
      </c>
      <c r="K81" s="0" t="inlineStr">
        <is>
          <t>OK</t>
        </is>
      </c>
    </row>
    <row r="82">
      <c r="A82" s="0" t="inlineStr">
        <is>
          <t>JB-1photo-2.pdf</t>
        </is>
      </c>
      <c r="B82" s="0" t="inlineStr">
        <is>
          <t>JB</t>
        </is>
      </c>
      <c r="C82" s="4">
        <v>2</v>
      </c>
      <c r="D82" s="4">
        <v>1</v>
      </c>
      <c r="E82" s="0" t="inlineStr">
        <is>
          <t>Długość nogawki po wewnętrznej</t>
        </is>
      </c>
      <c r="F82" s="9">
        <v>82.0</v>
      </c>
      <c r="G82" s="9">
        <v>79.0</v>
      </c>
      <c r="H82" s="3">
        <f>IF(G82="","",F82-G82)</f>
        <v>3.0</v>
      </c>
      <c r="I82" s="2">
        <f>IF(H82="","",ABS(H82))</f>
        <v>3.0</v>
      </c>
      <c r="J82" s="3">
        <v>3.0</v>
      </c>
      <c r="K82" s="0" t="inlineStr">
        <is>
          <t>OK</t>
        </is>
      </c>
    </row>
    <row r="83">
      <c r="A83" s="0" t="inlineStr">
        <is>
          <t>JB-1photo-2.pdf</t>
        </is>
      </c>
      <c r="B83" s="0" t="inlineStr">
        <is>
          <t>JB</t>
        </is>
      </c>
      <c r="C83" s="4">
        <v>2</v>
      </c>
      <c r="D83" s="4">
        <v>1</v>
      </c>
      <c r="E83" s="0" t="inlineStr">
        <is>
          <t>Obwód kolana</t>
        </is>
      </c>
      <c r="F83" s="9">
        <v>66.0</v>
      </c>
      <c r="G83" s="9">
        <v>38.0</v>
      </c>
      <c r="H83" s="3">
        <f>IF(G83="","",F83-G83)</f>
        <v>28.0</v>
      </c>
      <c r="I83" s="2">
        <f>IF(H83="","",ABS(H83))</f>
        <v>28.0</v>
      </c>
      <c r="J83" s="3">
        <v>28.0</v>
      </c>
      <c r="K83" s="0" t="inlineStr">
        <is>
          <t>OK</t>
        </is>
      </c>
    </row>
    <row r="84">
      <c r="A84" s="0" t="inlineStr">
        <is>
          <t>JB-1photo-2.pdf</t>
        </is>
      </c>
      <c r="B84" s="0" t="inlineStr">
        <is>
          <t>JB</t>
        </is>
      </c>
      <c r="C84" s="4">
        <v>2</v>
      </c>
      <c r="D84" s="4">
        <v>1</v>
      </c>
      <c r="E84" s="0" t="inlineStr">
        <is>
          <t>Obwód łydki</t>
        </is>
      </c>
      <c r="F84" s="9">
        <v>9.0</v>
      </c>
      <c r="G84" s="9">
        <v>34.0</v>
      </c>
      <c r="H84" s="3">
        <f>IF(G84="","",F84-G84)</f>
        <v>-25.0</v>
      </c>
      <c r="I84" s="2">
        <f>IF(H84="","",ABS(H84))</f>
        <v>25.0</v>
      </c>
      <c r="J84" s="3">
        <v>-25.0</v>
      </c>
      <c r="K84" s="0" t="inlineStr">
        <is>
          <t>OK</t>
        </is>
      </c>
    </row>
    <row r="85">
      <c r="A85" s="0" t="inlineStr">
        <is>
          <t>JB-1photo-2.pdf</t>
        </is>
      </c>
      <c r="B85" s="0" t="inlineStr">
        <is>
          <t>JB</t>
        </is>
      </c>
      <c r="C85" s="4">
        <v>2</v>
      </c>
      <c r="D85" s="4">
        <v>1</v>
      </c>
      <c r="E85" s="0" t="inlineStr">
        <is>
          <t>Obwód kostki</t>
        </is>
      </c>
      <c r="F85" s="9">
        <v>11.0</v>
      </c>
      <c r="G85" s="9">
        <v>22.0</v>
      </c>
      <c r="H85" s="3">
        <f>IF(G85="","",F85-G85)</f>
        <v>-11.0</v>
      </c>
      <c r="I85" s="2">
        <f>IF(H85="","",ABS(H85))</f>
        <v>11.0</v>
      </c>
      <c r="J85" s="3">
        <v>-11.0</v>
      </c>
      <c r="K85" s="0" t="inlineStr">
        <is>
          <t>OK</t>
        </is>
      </c>
    </row>
    <row r="86">
      <c r="A86" s="0" t="inlineStr">
        <is>
          <t>JB-2photos-1.pdf</t>
        </is>
      </c>
      <c r="B86" s="0" t="inlineStr">
        <is>
          <t>JB</t>
        </is>
      </c>
      <c r="C86" s="4">
        <v>1</v>
      </c>
      <c r="D86" s="4">
        <v>2</v>
      </c>
      <c r="E86" s="0" t="inlineStr">
        <is>
          <t>Wzrost</t>
        </is>
      </c>
      <c r="F86" s="9">
        <v>186.0</v>
      </c>
      <c r="G86" s="9">
        <v>186.0</v>
      </c>
      <c r="H86" s="3">
        <f>IF(G86="","",F86-G86)</f>
        <v>0.0</v>
      </c>
      <c r="I86" s="2">
        <f>IF(H86="","",ABS(H86))</f>
        <v>0.0</v>
      </c>
      <c r="J86" s="3">
        <v>0.0</v>
      </c>
      <c r="K86" s="0" t="inlineStr">
        <is>
          <t>OK</t>
        </is>
      </c>
    </row>
    <row r="87">
      <c r="A87" s="0" t="inlineStr">
        <is>
          <t>JB-2photos-1.pdf</t>
        </is>
      </c>
      <c r="B87" s="0" t="inlineStr">
        <is>
          <t>JB</t>
        </is>
      </c>
      <c r="C87" s="4">
        <v>1</v>
      </c>
      <c r="D87" s="4">
        <v>2</v>
      </c>
      <c r="E87" s="0" t="inlineStr">
        <is>
          <t>Obwód szyi</t>
        </is>
      </c>
      <c r="F87" s="9">
        <v>41.0</v>
      </c>
      <c r="G87" s="9">
        <v>41.5</v>
      </c>
      <c r="H87" s="3">
        <f>IF(G87="","",F87-G87)</f>
        <v>-0.5</v>
      </c>
      <c r="I87" s="2">
        <f>IF(H87="","",ABS(H87))</f>
        <v>0.5</v>
      </c>
      <c r="J87" s="3">
        <v>-0.5</v>
      </c>
      <c r="K87" s="0" t="inlineStr">
        <is>
          <t>OK</t>
        </is>
      </c>
    </row>
    <row r="88">
      <c r="A88" s="0" t="inlineStr">
        <is>
          <t>JB-2photos-1.pdf</t>
        </is>
      </c>
      <c r="B88" s="0" t="inlineStr">
        <is>
          <t>JB</t>
        </is>
      </c>
      <c r="C88" s="4">
        <v>1</v>
      </c>
      <c r="D88" s="4">
        <v>2</v>
      </c>
      <c r="E88" s="0" t="inlineStr">
        <is>
          <t>Szerokość ramion</t>
        </is>
      </c>
      <c r="F88" s="9">
        <v>47.0</v>
      </c>
      <c r="G88" s="9">
        <v>46.0</v>
      </c>
      <c r="H88" s="3">
        <f>IF(G88="","",F88-G88)</f>
        <v>1.0</v>
      </c>
      <c r="I88" s="2">
        <f>IF(H88="","",ABS(H88))</f>
        <v>1.0</v>
      </c>
      <c r="J88" s="3">
        <v>1.0</v>
      </c>
      <c r="K88" s="0" t="inlineStr">
        <is>
          <t>OK</t>
        </is>
      </c>
    </row>
    <row r="89">
      <c r="A89" s="0" t="inlineStr">
        <is>
          <t>JB-2photos-1.pdf</t>
        </is>
      </c>
      <c r="B89" s="0" t="inlineStr">
        <is>
          <t>JB</t>
        </is>
      </c>
      <c r="C89" s="4">
        <v>1</v>
      </c>
      <c r="D89" s="4">
        <v>2</v>
      </c>
      <c r="E89" s="0" t="inlineStr">
        <is>
          <t>Obwód klatki piersiowej</t>
        </is>
      </c>
      <c r="F89" s="9">
        <v>98.0</v>
      </c>
      <c r="G89" s="9">
        <v>94.0</v>
      </c>
      <c r="H89" s="3">
        <f>IF(G89="","",F89-G89)</f>
        <v>4.0</v>
      </c>
      <c r="I89" s="2">
        <f>IF(H89="","",ABS(H89))</f>
        <v>4.0</v>
      </c>
      <c r="J89" s="3">
        <v>4.0</v>
      </c>
      <c r="K89" s="0" t="inlineStr">
        <is>
          <t>OK</t>
        </is>
      </c>
    </row>
    <row r="90">
      <c r="A90" s="0" t="inlineStr">
        <is>
          <t>JB-2photos-1.pdf</t>
        </is>
      </c>
      <c r="B90" s="0" t="inlineStr">
        <is>
          <t>JB</t>
        </is>
      </c>
      <c r="C90" s="4">
        <v>1</v>
      </c>
      <c r="D90" s="4">
        <v>2</v>
      </c>
      <c r="E90" s="0" t="inlineStr">
        <is>
          <t>Obwód biustu</t>
        </is>
      </c>
      <c r="F90" s="9">
        <v>98.0</v>
      </c>
      <c r="G90" s="9">
        <v>94.0</v>
      </c>
      <c r="H90" s="3">
        <f>IF(G90="","",F90-G90)</f>
        <v>4.0</v>
      </c>
      <c r="I90" s="2">
        <f>IF(H90="","",ABS(H90))</f>
        <v>4.0</v>
      </c>
      <c r="J90" s="3">
        <v>4.0</v>
      </c>
      <c r="K90" s="0" t="inlineStr">
        <is>
          <t>OK</t>
        </is>
      </c>
    </row>
    <row r="91">
      <c r="A91" s="0" t="inlineStr">
        <is>
          <t>JB-2photos-1.pdf</t>
        </is>
      </c>
      <c r="B91" s="0" t="inlineStr">
        <is>
          <t>JB</t>
        </is>
      </c>
      <c r="C91" s="4">
        <v>1</v>
      </c>
      <c r="D91" s="4">
        <v>2</v>
      </c>
      <c r="E91" s="0" t="inlineStr">
        <is>
          <t>Obwód pod biustem</t>
        </is>
      </c>
      <c r="F91" s="9">
        <v>93.0</v>
      </c>
      <c r="G91" s="9">
        <v>87.0</v>
      </c>
      <c r="H91" s="3">
        <f>IF(G91="","",F91-G91)</f>
        <v>6.0</v>
      </c>
      <c r="I91" s="2">
        <f>IF(H91="","",ABS(H91))</f>
        <v>6.0</v>
      </c>
      <c r="J91" s="3">
        <v>6.0</v>
      </c>
      <c r="K91" s="0" t="inlineStr">
        <is>
          <t>OK</t>
        </is>
      </c>
    </row>
    <row r="92">
      <c r="A92" s="0" t="inlineStr">
        <is>
          <t>JB-2photos-1.pdf</t>
        </is>
      </c>
      <c r="B92" s="0" t="inlineStr">
        <is>
          <t>JB</t>
        </is>
      </c>
      <c r="C92" s="4">
        <v>1</v>
      </c>
      <c r="D92" s="4">
        <v>2</v>
      </c>
      <c r="E92" s="0" t="inlineStr">
        <is>
          <t>Długość ramienia</t>
        </is>
      </c>
      <c r="F92" s="9">
        <v>66.0</v>
      </c>
      <c r="G92" s="9">
        <v>62.0</v>
      </c>
      <c r="H92" s="3">
        <f>IF(G92="","",F92-G92)</f>
        <v>4.0</v>
      </c>
      <c r="I92" s="2">
        <f>IF(H92="","",ABS(H92))</f>
        <v>4.0</v>
      </c>
      <c r="J92" s="3">
        <v>4.0</v>
      </c>
      <c r="K92" s="0" t="inlineStr">
        <is>
          <t>OK</t>
        </is>
      </c>
    </row>
    <row r="93">
      <c r="A93" s="0" t="inlineStr">
        <is>
          <t>JB-2photos-1.pdf</t>
        </is>
      </c>
      <c r="B93" s="0" t="inlineStr">
        <is>
          <t>JB</t>
        </is>
      </c>
      <c r="C93" s="4">
        <v>1</v>
      </c>
      <c r="D93" s="4">
        <v>2</v>
      </c>
      <c r="E93" s="0" t="inlineStr">
        <is>
          <t>Obwód ramienia</t>
        </is>
      </c>
      <c r="F93" s="9">
        <v>29.0</v>
      </c>
      <c r="G93" s="9">
        <v>30.0</v>
      </c>
      <c r="H93" s="3">
        <f>IF(G93="","",F93-G93)</f>
        <v>-1.0</v>
      </c>
      <c r="I93" s="2">
        <f>IF(H93="","",ABS(H93))</f>
        <v>1.0</v>
      </c>
      <c r="J93" s="3">
        <v>-1.0</v>
      </c>
      <c r="K93" s="0" t="inlineStr">
        <is>
          <t>OK</t>
        </is>
      </c>
    </row>
    <row r="94">
      <c r="A94" s="0" t="inlineStr">
        <is>
          <t>JB-2photos-1.pdf</t>
        </is>
      </c>
      <c r="B94" s="0" t="inlineStr">
        <is>
          <t>JB</t>
        </is>
      </c>
      <c r="C94" s="4">
        <v>1</v>
      </c>
      <c r="D94" s="4">
        <v>2</v>
      </c>
      <c r="E94" s="0" t="inlineStr">
        <is>
          <t>Obwód nadgarstka</t>
        </is>
      </c>
      <c r="F94" s="9">
        <v>19.0</v>
      </c>
      <c r="G94" s="9">
        <v>17.0</v>
      </c>
      <c r="H94" s="3">
        <f>IF(G94="","",F94-G94)</f>
        <v>2.0</v>
      </c>
      <c r="I94" s="2">
        <f>IF(H94="","",ABS(H94))</f>
        <v>2.0</v>
      </c>
      <c r="J94" s="3">
        <v>2.0</v>
      </c>
      <c r="K94" s="0" t="inlineStr">
        <is>
          <t>OK</t>
        </is>
      </c>
    </row>
    <row r="95">
      <c r="A95" s="0" t="inlineStr">
        <is>
          <t>JB-2photos-1.pdf</t>
        </is>
      </c>
      <c r="B95" s="0" t="inlineStr">
        <is>
          <t>JB</t>
        </is>
      </c>
      <c r="C95" s="4">
        <v>1</v>
      </c>
      <c r="D95" s="4">
        <v>2</v>
      </c>
      <c r="E95" s="0" t="inlineStr">
        <is>
          <t>Długość tułowia</t>
        </is>
      </c>
      <c r="F95" s="9">
        <v>68.0</v>
      </c>
      <c r="G95" s="9">
        <v>44.0</v>
      </c>
      <c r="H95" s="3">
        <f>IF(G95="","",F95-G95)</f>
        <v>24.0</v>
      </c>
      <c r="I95" s="2">
        <f>IF(H95="","",ABS(H95))</f>
        <v>24.0</v>
      </c>
      <c r="J95" s="3">
        <v>24.0</v>
      </c>
      <c r="K95" s="0" t="inlineStr">
        <is>
          <t>OK</t>
        </is>
      </c>
    </row>
    <row r="96">
      <c r="A96" s="0" t="inlineStr">
        <is>
          <t>JB-2photos-1.pdf</t>
        </is>
      </c>
      <c r="B96" s="0" t="inlineStr">
        <is>
          <t>JB</t>
        </is>
      </c>
      <c r="C96" s="4">
        <v>1</v>
      </c>
      <c r="D96" s="4">
        <v>2</v>
      </c>
      <c r="E96" s="0" t="inlineStr">
        <is>
          <t>Długość przodu</t>
        </is>
      </c>
      <c r="F96" s="9">
        <v>59.0</v>
      </c>
      <c r="G96" s="9">
        <v>54.0</v>
      </c>
      <c r="H96" s="3">
        <f>IF(G96="","",F96-G96)</f>
        <v>5.0</v>
      </c>
      <c r="I96" s="2">
        <f>IF(H96="","",ABS(H96))</f>
        <v>5.0</v>
      </c>
      <c r="J96" s="3">
        <v>5.0</v>
      </c>
      <c r="K96" s="0" t="inlineStr">
        <is>
          <t>OK</t>
        </is>
      </c>
    </row>
    <row r="97">
      <c r="A97" s="0" t="inlineStr">
        <is>
          <t>JB-2photos-1.pdf</t>
        </is>
      </c>
      <c r="B97" s="0" t="inlineStr">
        <is>
          <t>JB</t>
        </is>
      </c>
      <c r="C97" s="4">
        <v>1</v>
      </c>
      <c r="D97" s="4">
        <v>2</v>
      </c>
      <c r="E97" s="0" t="inlineStr">
        <is>
          <t>Długość pleców</t>
        </is>
      </c>
      <c r="F97" s="9">
        <v>56.0</v>
      </c>
      <c r="G97" s="9">
        <v>55.0</v>
      </c>
      <c r="H97" s="3">
        <f>IF(G97="","",F97-G97)</f>
        <v>1.0</v>
      </c>
      <c r="I97" s="2">
        <f>IF(H97="","",ABS(H97))</f>
        <v>1.0</v>
      </c>
      <c r="J97" s="3">
        <v>1.0</v>
      </c>
      <c r="K97" s="0" t="inlineStr">
        <is>
          <t>OK</t>
        </is>
      </c>
    </row>
    <row r="98">
      <c r="A98" s="0" t="inlineStr">
        <is>
          <t>JB-2photos-1.pdf</t>
        </is>
      </c>
      <c r="B98" s="0" t="inlineStr">
        <is>
          <t>JB</t>
        </is>
      </c>
      <c r="C98" s="4">
        <v>1</v>
      </c>
      <c r="D98" s="4">
        <v>2</v>
      </c>
      <c r="E98" s="0" t="inlineStr">
        <is>
          <t>Długość pleców do bioder</t>
        </is>
      </c>
      <c r="F98" s="9">
        <v>68.0</v>
      </c>
      <c r="G98" s="9">
        <v>58.0</v>
      </c>
      <c r="H98" s="3">
        <f>IF(G98="","",F98-G98)</f>
        <v>10.0</v>
      </c>
      <c r="I98" s="2">
        <f>IF(H98="","",ABS(H98))</f>
        <v>10.0</v>
      </c>
      <c r="J98" s="3">
        <v>10.0</v>
      </c>
      <c r="K98" s="0" t="inlineStr">
        <is>
          <t>OK</t>
        </is>
      </c>
    </row>
    <row r="99">
      <c r="A99" s="0" t="inlineStr">
        <is>
          <t>JB-2photos-1.pdf</t>
        </is>
      </c>
      <c r="B99" s="0" t="inlineStr">
        <is>
          <t>JB</t>
        </is>
      </c>
      <c r="C99" s="4">
        <v>1</v>
      </c>
      <c r="D99" s="4">
        <v>2</v>
      </c>
      <c r="E99" s="0" t="inlineStr">
        <is>
          <t>Obwód talii</t>
        </is>
      </c>
      <c r="F99" s="9">
        <v>106.0</v>
      </c>
      <c r="G99" s="9">
        <v>77.0</v>
      </c>
      <c r="H99" s="3">
        <f>IF(G99="","",F99-G99)</f>
        <v>29.0</v>
      </c>
      <c r="I99" s="2">
        <f>IF(H99="","",ABS(H99))</f>
        <v>29.0</v>
      </c>
      <c r="J99" s="3">
        <v>29.0</v>
      </c>
      <c r="K99" s="0" t="inlineStr">
        <is>
          <t>OK</t>
        </is>
      </c>
    </row>
    <row r="100">
      <c r="A100" s="0" t="inlineStr">
        <is>
          <t>JB-2photos-1.pdf</t>
        </is>
      </c>
      <c r="B100" s="0" t="inlineStr">
        <is>
          <t>JB</t>
        </is>
      </c>
      <c r="C100" s="4">
        <v>1</v>
      </c>
      <c r="D100" s="4">
        <v>2</v>
      </c>
      <c r="E100" s="0" t="inlineStr">
        <is>
          <t>Obwód bioder</t>
        </is>
      </c>
      <c r="F100" s="9">
        <v>119.0</v>
      </c>
      <c r="G100" s="9">
        <v>79.0</v>
      </c>
      <c r="H100" s="3">
        <f>IF(G100="","",F100-G100)</f>
        <v>40.0</v>
      </c>
      <c r="I100" s="2">
        <f>IF(H100="","",ABS(H100))</f>
        <v>40.0</v>
      </c>
      <c r="J100" s="3">
        <v>40.0</v>
      </c>
      <c r="K100" s="0" t="inlineStr">
        <is>
          <t>OK</t>
        </is>
      </c>
    </row>
    <row r="101">
      <c r="A101" s="0" t="inlineStr">
        <is>
          <t>JB-2photos-1.pdf</t>
        </is>
      </c>
      <c r="B101" s="0" t="inlineStr">
        <is>
          <t>JB</t>
        </is>
      </c>
      <c r="C101" s="4">
        <v>1</v>
      </c>
      <c r="D101" s="4">
        <v>2</v>
      </c>
      <c r="E101" s="0" t="inlineStr">
        <is>
          <t>Wysokość stanu</t>
        </is>
      </c>
      <c r="F101" s="9">
        <v>92.0</v>
      </c>
      <c r="G101" s="9">
        <v>72.0</v>
      </c>
      <c r="H101" s="3">
        <f>IF(G101="","",F101-G101)</f>
        <v>20.0</v>
      </c>
      <c r="I101" s="2">
        <f>IF(H101="","",ABS(H101))</f>
        <v>20.0</v>
      </c>
      <c r="J101" s="3">
        <v>20.0</v>
      </c>
      <c r="K101" s="0" t="inlineStr">
        <is>
          <t>OK</t>
        </is>
      </c>
    </row>
    <row r="102">
      <c r="A102" s="0" t="inlineStr">
        <is>
          <t>JB-2photos-1.pdf</t>
        </is>
      </c>
      <c r="B102" s="0" t="inlineStr">
        <is>
          <t>JB</t>
        </is>
      </c>
      <c r="C102" s="4">
        <v>1</v>
      </c>
      <c r="D102" s="4">
        <v>2</v>
      </c>
      <c r="E102" s="0" t="inlineStr">
        <is>
          <t>Obwód uda</t>
        </is>
      </c>
      <c r="F102" s="9">
        <v>81.0</v>
      </c>
      <c r="G102" s="9">
        <v>53.0</v>
      </c>
      <c r="H102" s="3">
        <f>IF(G102="","",F102-G102)</f>
        <v>28.0</v>
      </c>
      <c r="I102" s="2">
        <f>IF(H102="","",ABS(H102))</f>
        <v>28.0</v>
      </c>
      <c r="J102" s="3">
        <v>28.0</v>
      </c>
      <c r="K102" s="0" t="inlineStr">
        <is>
          <t>OK</t>
        </is>
      </c>
    </row>
    <row r="103">
      <c r="A103" s="0" t="inlineStr">
        <is>
          <t>JB-2photos-1.pdf</t>
        </is>
      </c>
      <c r="B103" s="0" t="inlineStr">
        <is>
          <t>JB</t>
        </is>
      </c>
      <c r="C103" s="4">
        <v>1</v>
      </c>
      <c r="D103" s="4">
        <v>2</v>
      </c>
      <c r="E103" s="0" t="inlineStr">
        <is>
          <t>Długość nogawki po wewnętrznej</t>
        </is>
      </c>
      <c r="F103" s="9">
        <v>82.0</v>
      </c>
      <c r="G103" s="9">
        <v>79.0</v>
      </c>
      <c r="H103" s="3">
        <f>IF(G103="","",F103-G103)</f>
        <v>3.0</v>
      </c>
      <c r="I103" s="2">
        <f>IF(H103="","",ABS(H103))</f>
        <v>3.0</v>
      </c>
      <c r="J103" s="3">
        <v>3.0</v>
      </c>
      <c r="K103" s="0" t="inlineStr">
        <is>
          <t>OK</t>
        </is>
      </c>
    </row>
    <row r="104">
      <c r="A104" s="0" t="inlineStr">
        <is>
          <t>JB-2photos-1.pdf</t>
        </is>
      </c>
      <c r="B104" s="0" t="inlineStr">
        <is>
          <t>JB</t>
        </is>
      </c>
      <c r="C104" s="4">
        <v>1</v>
      </c>
      <c r="D104" s="4">
        <v>2</v>
      </c>
      <c r="E104" s="0" t="inlineStr">
        <is>
          <t>Obwód kolana</t>
        </is>
      </c>
      <c r="F104" s="9">
        <v>76.0</v>
      </c>
      <c r="G104" s="9">
        <v>38.0</v>
      </c>
      <c r="H104" s="3">
        <f>IF(G104="","",F104-G104)</f>
        <v>38.0</v>
      </c>
      <c r="I104" s="2">
        <f>IF(H104="","",ABS(H104))</f>
        <v>38.0</v>
      </c>
      <c r="J104" s="3">
        <v>38.0</v>
      </c>
      <c r="K104" s="0" t="inlineStr">
        <is>
          <t>OK</t>
        </is>
      </c>
    </row>
    <row r="105">
      <c r="A105" s="0" t="inlineStr">
        <is>
          <t>JB-2photos-1.pdf</t>
        </is>
      </c>
      <c r="B105" s="0" t="inlineStr">
        <is>
          <t>JB</t>
        </is>
      </c>
      <c r="C105" s="4">
        <v>1</v>
      </c>
      <c r="D105" s="4">
        <v>2</v>
      </c>
      <c r="E105" s="0" t="inlineStr">
        <is>
          <t>Obwód łydki</t>
        </is>
      </c>
      <c r="F105" s="9">
        <v>52.0</v>
      </c>
      <c r="G105" s="9">
        <v>34.0</v>
      </c>
      <c r="H105" s="3">
        <f>IF(G105="","",F105-G105)</f>
        <v>18.0</v>
      </c>
      <c r="I105" s="2">
        <f>IF(H105="","",ABS(H105))</f>
        <v>18.0</v>
      </c>
      <c r="J105" s="3">
        <v>18.0</v>
      </c>
      <c r="K105" s="0" t="inlineStr">
        <is>
          <t>OK</t>
        </is>
      </c>
    </row>
    <row r="106">
      <c r="A106" s="0" t="inlineStr">
        <is>
          <t>JB-2photos-1.pdf</t>
        </is>
      </c>
      <c r="B106" s="0" t="inlineStr">
        <is>
          <t>JB</t>
        </is>
      </c>
      <c r="C106" s="4">
        <v>1</v>
      </c>
      <c r="D106" s="4">
        <v>2</v>
      </c>
      <c r="E106" s="0" t="inlineStr">
        <is>
          <t>Obwód kostki</t>
        </is>
      </c>
      <c r="F106" s="9">
        <v>24.0</v>
      </c>
      <c r="G106" s="9">
        <v>22.0</v>
      </c>
      <c r="H106" s="3">
        <f>IF(G106="","",F106-G106)</f>
        <v>2.0</v>
      </c>
      <c r="I106" s="2">
        <f>IF(H106="","",ABS(H106))</f>
        <v>2.0</v>
      </c>
      <c r="J106" s="3">
        <v>2.0</v>
      </c>
      <c r="K106" s="0" t="inlineStr">
        <is>
          <t>OK</t>
        </is>
      </c>
    </row>
    <row r="107">
      <c r="A107" s="0" t="inlineStr">
        <is>
          <t>JB-2photos-2.pdf</t>
        </is>
      </c>
      <c r="B107" s="0" t="inlineStr">
        <is>
          <t>JB</t>
        </is>
      </c>
      <c r="C107" s="4">
        <v>2</v>
      </c>
      <c r="D107" s="4">
        <v>2</v>
      </c>
      <c r="E107" s="0" t="inlineStr">
        <is>
          <t>Wzrost</t>
        </is>
      </c>
      <c r="F107" s="9">
        <v>186.0</v>
      </c>
      <c r="G107" s="9">
        <v>186.0</v>
      </c>
      <c r="H107" s="3">
        <f>IF(G107="","",F107-G107)</f>
        <v>0.0</v>
      </c>
      <c r="I107" s="2">
        <f>IF(H107="","",ABS(H107))</f>
        <v>0.0</v>
      </c>
      <c r="J107" s="3">
        <v>0.0</v>
      </c>
      <c r="K107" s="0" t="inlineStr">
        <is>
          <t>OK</t>
        </is>
      </c>
    </row>
    <row r="108">
      <c r="A108" s="0" t="inlineStr">
        <is>
          <t>JB-2photos-2.pdf</t>
        </is>
      </c>
      <c r="B108" s="0" t="inlineStr">
        <is>
          <t>JB</t>
        </is>
      </c>
      <c r="C108" s="4">
        <v>2</v>
      </c>
      <c r="D108" s="4">
        <v>2</v>
      </c>
      <c r="E108" s="0" t="inlineStr">
        <is>
          <t>Obwód szyi</t>
        </is>
      </c>
      <c r="F108" s="9">
        <v>41.0</v>
      </c>
      <c r="G108" s="9">
        <v>41.5</v>
      </c>
      <c r="H108" s="3">
        <f>IF(G108="","",F108-G108)</f>
        <v>-0.5</v>
      </c>
      <c r="I108" s="2">
        <f>IF(H108="","",ABS(H108))</f>
        <v>0.5</v>
      </c>
      <c r="J108" s="3">
        <v>-0.5</v>
      </c>
      <c r="K108" s="0" t="inlineStr">
        <is>
          <t>OK</t>
        </is>
      </c>
    </row>
    <row r="109">
      <c r="A109" s="0" t="inlineStr">
        <is>
          <t>JB-2photos-2.pdf</t>
        </is>
      </c>
      <c r="B109" s="0" t="inlineStr">
        <is>
          <t>JB</t>
        </is>
      </c>
      <c r="C109" s="4">
        <v>2</v>
      </c>
      <c r="D109" s="4">
        <v>2</v>
      </c>
      <c r="E109" s="0" t="inlineStr">
        <is>
          <t>Szerokość ramion</t>
        </is>
      </c>
      <c r="F109" s="9">
        <v>48.0</v>
      </c>
      <c r="G109" s="9">
        <v>46.0</v>
      </c>
      <c r="H109" s="3">
        <f>IF(G109="","",F109-G109)</f>
        <v>2.0</v>
      </c>
      <c r="I109" s="2">
        <f>IF(H109="","",ABS(H109))</f>
        <v>2.0</v>
      </c>
      <c r="J109" s="3">
        <v>2.0</v>
      </c>
      <c r="K109" s="0" t="inlineStr">
        <is>
          <t>OK</t>
        </is>
      </c>
    </row>
    <row r="110">
      <c r="A110" s="0" t="inlineStr">
        <is>
          <t>JB-2photos-2.pdf</t>
        </is>
      </c>
      <c r="B110" s="0" t="inlineStr">
        <is>
          <t>JB</t>
        </is>
      </c>
      <c r="C110" s="4">
        <v>2</v>
      </c>
      <c r="D110" s="4">
        <v>2</v>
      </c>
      <c r="E110" s="0" t="inlineStr">
        <is>
          <t>Obwód klatki piersiowej</t>
        </is>
      </c>
      <c r="F110" s="9">
        <v>100.0</v>
      </c>
      <c r="G110" s="9">
        <v>94.0</v>
      </c>
      <c r="H110" s="3">
        <f>IF(G110="","",F110-G110)</f>
        <v>6.0</v>
      </c>
      <c r="I110" s="2">
        <f>IF(H110="","",ABS(H110))</f>
        <v>6.0</v>
      </c>
      <c r="J110" s="3">
        <v>6.0</v>
      </c>
      <c r="K110" s="0" t="inlineStr">
        <is>
          <t>OK</t>
        </is>
      </c>
    </row>
    <row r="111">
      <c r="A111" s="0" t="inlineStr">
        <is>
          <t>JB-2photos-2.pdf</t>
        </is>
      </c>
      <c r="B111" s="0" t="inlineStr">
        <is>
          <t>JB</t>
        </is>
      </c>
      <c r="C111" s="4">
        <v>2</v>
      </c>
      <c r="D111" s="4">
        <v>2</v>
      </c>
      <c r="E111" s="0" t="inlineStr">
        <is>
          <t>Obwód biustu</t>
        </is>
      </c>
      <c r="F111" s="9">
        <v>100.0</v>
      </c>
      <c r="G111" s="9">
        <v>94.0</v>
      </c>
      <c r="H111" s="3">
        <f>IF(G111="","",F111-G111)</f>
        <v>6.0</v>
      </c>
      <c r="I111" s="2">
        <f>IF(H111="","",ABS(H111))</f>
        <v>6.0</v>
      </c>
      <c r="J111" s="3">
        <v>6.0</v>
      </c>
      <c r="K111" s="0" t="inlineStr">
        <is>
          <t>OK</t>
        </is>
      </c>
    </row>
    <row r="112">
      <c r="A112" s="0" t="inlineStr">
        <is>
          <t>JB-2photos-2.pdf</t>
        </is>
      </c>
      <c r="B112" s="0" t="inlineStr">
        <is>
          <t>JB</t>
        </is>
      </c>
      <c r="C112" s="4">
        <v>2</v>
      </c>
      <c r="D112" s="4">
        <v>2</v>
      </c>
      <c r="E112" s="0" t="inlineStr">
        <is>
          <t>Obwód pod biustem</t>
        </is>
      </c>
      <c r="F112" s="9">
        <v>94.0</v>
      </c>
      <c r="G112" s="9">
        <v>87.0</v>
      </c>
      <c r="H112" s="3">
        <f>IF(G112="","",F112-G112)</f>
        <v>7.0</v>
      </c>
      <c r="I112" s="2">
        <f>IF(H112="","",ABS(H112))</f>
        <v>7.0</v>
      </c>
      <c r="J112" s="3">
        <v>7.0</v>
      </c>
      <c r="K112" s="0" t="inlineStr">
        <is>
          <t>OK</t>
        </is>
      </c>
    </row>
    <row r="113">
      <c r="A113" s="0" t="inlineStr">
        <is>
          <t>JB-2photos-2.pdf</t>
        </is>
      </c>
      <c r="B113" s="0" t="inlineStr">
        <is>
          <t>JB</t>
        </is>
      </c>
      <c r="C113" s="4">
        <v>2</v>
      </c>
      <c r="D113" s="4">
        <v>2</v>
      </c>
      <c r="E113" s="0" t="inlineStr">
        <is>
          <t>Długość ramienia</t>
        </is>
      </c>
      <c r="F113" s="9">
        <v>67.0</v>
      </c>
      <c r="G113" s="9">
        <v>62.0</v>
      </c>
      <c r="H113" s="3">
        <f>IF(G113="","",F113-G113)</f>
        <v>5.0</v>
      </c>
      <c r="I113" s="2">
        <f>IF(H113="","",ABS(H113))</f>
        <v>5.0</v>
      </c>
      <c r="J113" s="3">
        <v>5.0</v>
      </c>
      <c r="K113" s="0" t="inlineStr">
        <is>
          <t>OK</t>
        </is>
      </c>
    </row>
    <row r="114">
      <c r="A114" s="0" t="inlineStr">
        <is>
          <t>JB-2photos-2.pdf</t>
        </is>
      </c>
      <c r="B114" s="0" t="inlineStr">
        <is>
          <t>JB</t>
        </is>
      </c>
      <c r="C114" s="4">
        <v>2</v>
      </c>
      <c r="D114" s="4">
        <v>2</v>
      </c>
      <c r="E114" s="0" t="inlineStr">
        <is>
          <t>Obwód ramienia</t>
        </is>
      </c>
      <c r="F114" s="9">
        <v>30.0</v>
      </c>
      <c r="G114" s="9">
        <v>30.0</v>
      </c>
      <c r="H114" s="3">
        <f>IF(G114="","",F114-G114)</f>
        <v>0.0</v>
      </c>
      <c r="I114" s="2">
        <f>IF(H114="","",ABS(H114))</f>
        <v>0.0</v>
      </c>
      <c r="J114" s="3">
        <v>0.0</v>
      </c>
      <c r="K114" s="0" t="inlineStr">
        <is>
          <t>OK</t>
        </is>
      </c>
    </row>
    <row r="115">
      <c r="A115" s="0" t="inlineStr">
        <is>
          <t>JB-2photos-2.pdf</t>
        </is>
      </c>
      <c r="B115" s="0" t="inlineStr">
        <is>
          <t>JB</t>
        </is>
      </c>
      <c r="C115" s="4">
        <v>2</v>
      </c>
      <c r="D115" s="4">
        <v>2</v>
      </c>
      <c r="E115" s="0" t="inlineStr">
        <is>
          <t>Obwód nadgarstka</t>
        </is>
      </c>
      <c r="F115" s="9">
        <v>20.0</v>
      </c>
      <c r="G115" s="9">
        <v>17.0</v>
      </c>
      <c r="H115" s="3">
        <f>IF(G115="","",F115-G115)</f>
        <v>3.0</v>
      </c>
      <c r="I115" s="2">
        <f>IF(H115="","",ABS(H115))</f>
        <v>3.0</v>
      </c>
      <c r="J115" s="3">
        <v>3.0</v>
      </c>
      <c r="K115" s="0" t="inlineStr">
        <is>
          <t>OK</t>
        </is>
      </c>
    </row>
    <row r="116">
      <c r="A116" s="0" t="inlineStr">
        <is>
          <t>JB-2photos-2.pdf</t>
        </is>
      </c>
      <c r="B116" s="0" t="inlineStr">
        <is>
          <t>JB</t>
        </is>
      </c>
      <c r="C116" s="4">
        <v>2</v>
      </c>
      <c r="D116" s="4">
        <v>2</v>
      </c>
      <c r="E116" s="0" t="inlineStr">
        <is>
          <t>Długość tułowia</t>
        </is>
      </c>
      <c r="F116" s="9">
        <v>68.0</v>
      </c>
      <c r="G116" s="9">
        <v>44.0</v>
      </c>
      <c r="H116" s="3">
        <f>IF(G116="","",F116-G116)</f>
        <v>24.0</v>
      </c>
      <c r="I116" s="2">
        <f>IF(H116="","",ABS(H116))</f>
        <v>24.0</v>
      </c>
      <c r="J116" s="3">
        <v>24.0</v>
      </c>
      <c r="K116" s="0" t="inlineStr">
        <is>
          <t>OK</t>
        </is>
      </c>
    </row>
    <row r="117">
      <c r="A117" s="0" t="inlineStr">
        <is>
          <t>JB-2photos-2.pdf</t>
        </is>
      </c>
      <c r="B117" s="0" t="inlineStr">
        <is>
          <t>JB</t>
        </is>
      </c>
      <c r="C117" s="4">
        <v>2</v>
      </c>
      <c r="D117" s="4">
        <v>2</v>
      </c>
      <c r="E117" s="0" t="inlineStr">
        <is>
          <t>Długość przodu</t>
        </is>
      </c>
      <c r="F117" s="9">
        <v>59.0</v>
      </c>
      <c r="G117" s="9">
        <v>54.0</v>
      </c>
      <c r="H117" s="3">
        <f>IF(G117="","",F117-G117)</f>
        <v>5.0</v>
      </c>
      <c r="I117" s="2">
        <f>IF(H117="","",ABS(H117))</f>
        <v>5.0</v>
      </c>
      <c r="J117" s="3">
        <v>5.0</v>
      </c>
      <c r="K117" s="0" t="inlineStr">
        <is>
          <t>OK</t>
        </is>
      </c>
    </row>
    <row r="118">
      <c r="A118" s="0" t="inlineStr">
        <is>
          <t>JB-2photos-2.pdf</t>
        </is>
      </c>
      <c r="B118" s="0" t="inlineStr">
        <is>
          <t>JB</t>
        </is>
      </c>
      <c r="C118" s="4">
        <v>2</v>
      </c>
      <c r="D118" s="4">
        <v>2</v>
      </c>
      <c r="E118" s="0" t="inlineStr">
        <is>
          <t>Długość pleców</t>
        </is>
      </c>
      <c r="F118" s="9">
        <v>57.0</v>
      </c>
      <c r="G118" s="9">
        <v>55.0</v>
      </c>
      <c r="H118" s="3">
        <f>IF(G118="","",F118-G118)</f>
        <v>2.0</v>
      </c>
      <c r="I118" s="2">
        <f>IF(H118="","",ABS(H118))</f>
        <v>2.0</v>
      </c>
      <c r="J118" s="3">
        <v>2.0</v>
      </c>
      <c r="K118" s="0" t="inlineStr">
        <is>
          <t>OK</t>
        </is>
      </c>
    </row>
    <row r="119">
      <c r="A119" s="0" t="inlineStr">
        <is>
          <t>JB-2photos-2.pdf</t>
        </is>
      </c>
      <c r="B119" s="0" t="inlineStr">
        <is>
          <t>JB</t>
        </is>
      </c>
      <c r="C119" s="4">
        <v>2</v>
      </c>
      <c r="D119" s="4">
        <v>2</v>
      </c>
      <c r="E119" s="0" t="inlineStr">
        <is>
          <t>Długość pleców do bioder</t>
        </is>
      </c>
      <c r="F119" s="9">
        <v>68.0</v>
      </c>
      <c r="G119" s="9">
        <v>58.0</v>
      </c>
      <c r="H119" s="3">
        <f>IF(G119="","",F119-G119)</f>
        <v>10.0</v>
      </c>
      <c r="I119" s="2">
        <f>IF(H119="","",ABS(H119))</f>
        <v>10.0</v>
      </c>
      <c r="J119" s="3">
        <v>10.0</v>
      </c>
      <c r="K119" s="0" t="inlineStr">
        <is>
          <t>OK</t>
        </is>
      </c>
    </row>
    <row r="120">
      <c r="A120" s="0" t="inlineStr">
        <is>
          <t>JB-2photos-2.pdf</t>
        </is>
      </c>
      <c r="B120" s="0" t="inlineStr">
        <is>
          <t>JB</t>
        </is>
      </c>
      <c r="C120" s="4">
        <v>2</v>
      </c>
      <c r="D120" s="4">
        <v>2</v>
      </c>
      <c r="E120" s="0" t="inlineStr">
        <is>
          <t>Obwód talii</t>
        </is>
      </c>
      <c r="F120" s="9">
        <v>108.0</v>
      </c>
      <c r="G120" s="9">
        <v>77.0</v>
      </c>
      <c r="H120" s="3">
        <f>IF(G120="","",F120-G120)</f>
        <v>31.0</v>
      </c>
      <c r="I120" s="2">
        <f>IF(H120="","",ABS(H120))</f>
        <v>31.0</v>
      </c>
      <c r="J120" s="3">
        <v>31.0</v>
      </c>
      <c r="K120" s="0" t="inlineStr">
        <is>
          <t>OK</t>
        </is>
      </c>
    </row>
    <row r="121">
      <c r="A121" s="0" t="inlineStr">
        <is>
          <t>JB-2photos-2.pdf</t>
        </is>
      </c>
      <c r="B121" s="0" t="inlineStr">
        <is>
          <t>JB</t>
        </is>
      </c>
      <c r="C121" s="4">
        <v>2</v>
      </c>
      <c r="D121" s="4">
        <v>2</v>
      </c>
      <c r="E121" s="0" t="inlineStr">
        <is>
          <t>Obwód bioder</t>
        </is>
      </c>
      <c r="F121" s="9">
        <v>120.0</v>
      </c>
      <c r="G121" s="9">
        <v>79.0</v>
      </c>
      <c r="H121" s="3">
        <f>IF(G121="","",F121-G121)</f>
        <v>41.0</v>
      </c>
      <c r="I121" s="2">
        <f>IF(H121="","",ABS(H121))</f>
        <v>41.0</v>
      </c>
      <c r="J121" s="3">
        <v>41.0</v>
      </c>
      <c r="K121" s="0" t="inlineStr">
        <is>
          <t>OK</t>
        </is>
      </c>
    </row>
    <row r="122">
      <c r="A122" s="0" t="inlineStr">
        <is>
          <t>JB-2photos-2.pdf</t>
        </is>
      </c>
      <c r="B122" s="0" t="inlineStr">
        <is>
          <t>JB</t>
        </is>
      </c>
      <c r="C122" s="4">
        <v>2</v>
      </c>
      <c r="D122" s="4">
        <v>2</v>
      </c>
      <c r="E122" s="0" t="inlineStr">
        <is>
          <t>Wysokość stanu</t>
        </is>
      </c>
      <c r="F122" s="9">
        <v>93.0</v>
      </c>
      <c r="G122" s="9">
        <v>72.0</v>
      </c>
      <c r="H122" s="3">
        <f>IF(G122="","",F122-G122)</f>
        <v>21.0</v>
      </c>
      <c r="I122" s="2">
        <f>IF(H122="","",ABS(H122))</f>
        <v>21.0</v>
      </c>
      <c r="J122" s="3">
        <v>21.0</v>
      </c>
      <c r="K122" s="0" t="inlineStr">
        <is>
          <t>OK</t>
        </is>
      </c>
    </row>
    <row r="123">
      <c r="A123" s="0" t="inlineStr">
        <is>
          <t>JB-2photos-2.pdf</t>
        </is>
      </c>
      <c r="B123" s="0" t="inlineStr">
        <is>
          <t>JB</t>
        </is>
      </c>
      <c r="C123" s="4">
        <v>2</v>
      </c>
      <c r="D123" s="4">
        <v>2</v>
      </c>
      <c r="E123" s="0" t="inlineStr">
        <is>
          <t>Obwód uda</t>
        </is>
      </c>
      <c r="F123" s="9">
        <v>82.0</v>
      </c>
      <c r="G123" s="9">
        <v>53.0</v>
      </c>
      <c r="H123" s="3">
        <f>IF(G123="","",F123-G123)</f>
        <v>29.0</v>
      </c>
      <c r="I123" s="2">
        <f>IF(H123="","",ABS(H123))</f>
        <v>29.0</v>
      </c>
      <c r="J123" s="3">
        <v>29.0</v>
      </c>
      <c r="K123" s="0" t="inlineStr">
        <is>
          <t>OK</t>
        </is>
      </c>
    </row>
    <row r="124">
      <c r="A124" s="0" t="inlineStr">
        <is>
          <t>JB-2photos-2.pdf</t>
        </is>
      </c>
      <c r="B124" s="0" t="inlineStr">
        <is>
          <t>JB</t>
        </is>
      </c>
      <c r="C124" s="4">
        <v>2</v>
      </c>
      <c r="D124" s="4">
        <v>2</v>
      </c>
      <c r="E124" s="0" t="inlineStr">
        <is>
          <t>Długość nogawki po wewnętrznej</t>
        </is>
      </c>
      <c r="F124" s="9">
        <v>82.0</v>
      </c>
      <c r="G124" s="9">
        <v>79.0</v>
      </c>
      <c r="H124" s="3">
        <f>IF(G124="","",F124-G124)</f>
        <v>3.0</v>
      </c>
      <c r="I124" s="2">
        <f>IF(H124="","",ABS(H124))</f>
        <v>3.0</v>
      </c>
      <c r="J124" s="3">
        <v>3.0</v>
      </c>
      <c r="K124" s="0" t="inlineStr">
        <is>
          <t>OK</t>
        </is>
      </c>
    </row>
    <row r="125">
      <c r="A125" s="0" t="inlineStr">
        <is>
          <t>JB-2photos-2.pdf</t>
        </is>
      </c>
      <c r="B125" s="0" t="inlineStr">
        <is>
          <t>JB</t>
        </is>
      </c>
      <c r="C125" s="4">
        <v>2</v>
      </c>
      <c r="D125" s="4">
        <v>2</v>
      </c>
      <c r="E125" s="0" t="inlineStr">
        <is>
          <t>Obwód kolana</t>
        </is>
      </c>
      <c r="F125" s="9">
        <v>76.0</v>
      </c>
      <c r="G125" s="9">
        <v>38.0</v>
      </c>
      <c r="H125" s="3">
        <f>IF(G125="","",F125-G125)</f>
        <v>38.0</v>
      </c>
      <c r="I125" s="2">
        <f>IF(H125="","",ABS(H125))</f>
        <v>38.0</v>
      </c>
      <c r="J125" s="3">
        <v>38.0</v>
      </c>
      <c r="K125" s="0" t="inlineStr">
        <is>
          <t>OK</t>
        </is>
      </c>
    </row>
    <row r="126">
      <c r="A126" s="0" t="inlineStr">
        <is>
          <t>JB-2photos-2.pdf</t>
        </is>
      </c>
      <c r="B126" s="0" t="inlineStr">
        <is>
          <t>JB</t>
        </is>
      </c>
      <c r="C126" s="4">
        <v>2</v>
      </c>
      <c r="D126" s="4">
        <v>2</v>
      </c>
      <c r="E126" s="0" t="inlineStr">
        <is>
          <t>Obwód łydki</t>
        </is>
      </c>
      <c r="F126" s="9">
        <v>47.0</v>
      </c>
      <c r="G126" s="9">
        <v>34.0</v>
      </c>
      <c r="H126" s="3">
        <f>IF(G126="","",F126-G126)</f>
        <v>13.0</v>
      </c>
      <c r="I126" s="2">
        <f>IF(H126="","",ABS(H126))</f>
        <v>13.0</v>
      </c>
      <c r="J126" s="3">
        <v>13.0</v>
      </c>
      <c r="K126" s="0" t="inlineStr">
        <is>
          <t>OK</t>
        </is>
      </c>
    </row>
    <row r="127">
      <c r="A127" s="0" t="inlineStr">
        <is>
          <t>JB-2photos-2.pdf</t>
        </is>
      </c>
      <c r="B127" s="0" t="inlineStr">
        <is>
          <t>JB</t>
        </is>
      </c>
      <c r="C127" s="4">
        <v>2</v>
      </c>
      <c r="D127" s="4">
        <v>2</v>
      </c>
      <c r="E127" s="0" t="inlineStr">
        <is>
          <t>Obwód kostki</t>
        </is>
      </c>
      <c r="F127" s="9">
        <v>24.0</v>
      </c>
      <c r="G127" s="9">
        <v>22.0</v>
      </c>
      <c r="H127" s="3">
        <f>IF(G127="","",F127-G127)</f>
        <v>2.0</v>
      </c>
      <c r="I127" s="2">
        <f>IF(H127="","",ABS(H127))</f>
        <v>2.0</v>
      </c>
      <c r="J127" s="3">
        <v>2.0</v>
      </c>
      <c r="K127" s="0" t="inlineStr">
        <is>
          <t>OK</t>
        </is>
      </c>
    </row>
    <row r="128">
      <c r="A128" s="0" t="inlineStr">
        <is>
          <t>PF-1photo-1.pdf</t>
        </is>
      </c>
      <c r="B128" s="0" t="inlineStr">
        <is>
          <t>PF</t>
        </is>
      </c>
      <c r="C128" s="4">
        <v>1</v>
      </c>
      <c r="D128" s="4">
        <v>1</v>
      </c>
      <c r="E128" s="0" t="inlineStr">
        <is>
          <t>Wzrost</t>
        </is>
      </c>
      <c r="F128" s="9">
        <v>191.0</v>
      </c>
      <c r="G128" s="9">
        <v>191.0</v>
      </c>
      <c r="H128" s="3">
        <f>IF(G128="","",F128-G128)</f>
        <v>0.0</v>
      </c>
      <c r="I128" s="2">
        <f>IF(H128="","",ABS(H128))</f>
        <v>0.0</v>
      </c>
      <c r="J128" s="3">
        <v>0.0</v>
      </c>
      <c r="K128" s="0" t="inlineStr">
        <is>
          <t>OK</t>
        </is>
      </c>
    </row>
    <row r="129">
      <c r="A129" s="0" t="inlineStr">
        <is>
          <t>PF-1photo-1.pdf</t>
        </is>
      </c>
      <c r="B129" s="0" t="inlineStr">
        <is>
          <t>PF</t>
        </is>
      </c>
      <c r="C129" s="4">
        <v>1</v>
      </c>
      <c r="D129" s="4">
        <v>1</v>
      </c>
      <c r="E129" s="0" t="inlineStr">
        <is>
          <t>Obwód szyi</t>
        </is>
      </c>
      <c r="F129" s="9">
        <v>43.0</v>
      </c>
      <c r="G129" s="9">
        <v>41.0</v>
      </c>
      <c r="H129" s="3">
        <f>IF(G129="","",F129-G129)</f>
        <v>2.0</v>
      </c>
      <c r="I129" s="2">
        <f>IF(H129="","",ABS(H129))</f>
        <v>2.0</v>
      </c>
      <c r="J129" s="3">
        <v>2.0</v>
      </c>
      <c r="K129" s="0" t="inlineStr">
        <is>
          <t>OK</t>
        </is>
      </c>
    </row>
    <row r="130">
      <c r="A130" s="0" t="inlineStr">
        <is>
          <t>PF-1photo-1.pdf</t>
        </is>
      </c>
      <c r="B130" s="0" t="inlineStr">
        <is>
          <t>PF</t>
        </is>
      </c>
      <c r="C130" s="4">
        <v>1</v>
      </c>
      <c r="D130" s="4">
        <v>1</v>
      </c>
      <c r="E130" s="0" t="inlineStr">
        <is>
          <t>Szerokość ramion</t>
        </is>
      </c>
      <c r="F130" s="9">
        <v>44.0</v>
      </c>
      <c r="H130" s="3" t="str">
        <f>IF(G130="","",F130-G130)</f>
        <v/>
      </c>
      <c r="I130" s="2" t="str">
        <f>IF(H130="","",ABS(H130))</f>
        <v/>
      </c>
      <c r="K130" s="10" t="inlineStr">
        <is>
          <t>Brak rzeczywistego</t>
        </is>
      </c>
    </row>
    <row r="131">
      <c r="A131" s="0" t="inlineStr">
        <is>
          <t>PF-1photo-1.pdf</t>
        </is>
      </c>
      <c r="B131" s="0" t="inlineStr">
        <is>
          <t>PF</t>
        </is>
      </c>
      <c r="C131" s="4">
        <v>1</v>
      </c>
      <c r="D131" s="4">
        <v>1</v>
      </c>
      <c r="E131" s="0" t="inlineStr">
        <is>
          <t>Obwód klatki piersiowej</t>
        </is>
      </c>
      <c r="F131" s="9">
        <v>90.0</v>
      </c>
      <c r="G131" s="9">
        <v>103.0</v>
      </c>
      <c r="H131" s="3">
        <f>IF(G131="","",F131-G131)</f>
        <v>-13.0</v>
      </c>
      <c r="I131" s="2">
        <f>IF(H131="","",ABS(H131))</f>
        <v>13.0</v>
      </c>
      <c r="J131" s="3">
        <v>-13.0</v>
      </c>
      <c r="K131" s="0" t="inlineStr">
        <is>
          <t>OK</t>
        </is>
      </c>
    </row>
    <row r="132">
      <c r="A132" s="0" t="inlineStr">
        <is>
          <t>PF-1photo-1.pdf</t>
        </is>
      </c>
      <c r="B132" s="0" t="inlineStr">
        <is>
          <t>PF</t>
        </is>
      </c>
      <c r="C132" s="4">
        <v>1</v>
      </c>
      <c r="D132" s="4">
        <v>1</v>
      </c>
      <c r="E132" s="0" t="inlineStr">
        <is>
          <t>Obwód biustu</t>
        </is>
      </c>
      <c r="F132" s="9">
        <v>90.0</v>
      </c>
      <c r="G132" s="9">
        <v>103.0</v>
      </c>
      <c r="H132" s="3">
        <f>IF(G132="","",F132-G132)</f>
        <v>-13.0</v>
      </c>
      <c r="I132" s="2">
        <f>IF(H132="","",ABS(H132))</f>
        <v>13.0</v>
      </c>
      <c r="J132" s="3">
        <v>-13.0</v>
      </c>
      <c r="K132" s="0" t="inlineStr">
        <is>
          <t>OK</t>
        </is>
      </c>
    </row>
    <row r="133">
      <c r="A133" s="0" t="inlineStr">
        <is>
          <t>PF-1photo-1.pdf</t>
        </is>
      </c>
      <c r="B133" s="0" t="inlineStr">
        <is>
          <t>PF</t>
        </is>
      </c>
      <c r="C133" s="4">
        <v>1</v>
      </c>
      <c r="D133" s="4">
        <v>1</v>
      </c>
      <c r="E133" s="0" t="inlineStr">
        <is>
          <t>Obwód pod biustem</t>
        </is>
      </c>
      <c r="F133" s="9">
        <v>85.0</v>
      </c>
      <c r="G133" s="9">
        <v>93.0</v>
      </c>
      <c r="H133" s="3">
        <f>IF(G133="","",F133-G133)</f>
        <v>-8.0</v>
      </c>
      <c r="I133" s="2">
        <f>IF(H133="","",ABS(H133))</f>
        <v>8.0</v>
      </c>
      <c r="J133" s="3">
        <v>-8.0</v>
      </c>
      <c r="K133" s="0" t="inlineStr">
        <is>
          <t>OK</t>
        </is>
      </c>
    </row>
    <row r="134">
      <c r="A134" s="0" t="inlineStr">
        <is>
          <t>PF-1photo-1.pdf</t>
        </is>
      </c>
      <c r="B134" s="0" t="inlineStr">
        <is>
          <t>PF</t>
        </is>
      </c>
      <c r="C134" s="4">
        <v>1</v>
      </c>
      <c r="D134" s="4">
        <v>1</v>
      </c>
      <c r="E134" s="0" t="inlineStr">
        <is>
          <t>Długość ramienia</t>
        </is>
      </c>
      <c r="F134" s="9">
        <v>55.0</v>
      </c>
      <c r="H134" s="3" t="str">
        <f>IF(G134="","",F134-G134)</f>
        <v/>
      </c>
      <c r="I134" s="2" t="str">
        <f>IF(H134="","",ABS(H134))</f>
        <v/>
      </c>
      <c r="K134" s="10" t="inlineStr">
        <is>
          <t>Brak rzeczywistego</t>
        </is>
      </c>
    </row>
    <row r="135">
      <c r="A135" s="0" t="inlineStr">
        <is>
          <t>PF-1photo-1.pdf</t>
        </is>
      </c>
      <c r="B135" s="0" t="inlineStr">
        <is>
          <t>PF</t>
        </is>
      </c>
      <c r="C135" s="4">
        <v>1</v>
      </c>
      <c r="D135" s="4">
        <v>1</v>
      </c>
      <c r="E135" s="0" t="inlineStr">
        <is>
          <t>Obwód ramienia</t>
        </is>
      </c>
      <c r="F135" s="9">
        <v>29.0</v>
      </c>
      <c r="G135" s="9">
        <v>32.0</v>
      </c>
      <c r="H135" s="3">
        <f>IF(G135="","",F135-G135)</f>
        <v>-3.0</v>
      </c>
      <c r="I135" s="2">
        <f>IF(H135="","",ABS(H135))</f>
        <v>3.0</v>
      </c>
      <c r="J135" s="3">
        <v>-3.0</v>
      </c>
      <c r="K135" s="0" t="inlineStr">
        <is>
          <t>OK</t>
        </is>
      </c>
    </row>
    <row r="136">
      <c r="A136" s="0" t="inlineStr">
        <is>
          <t>PF-1photo-1.pdf</t>
        </is>
      </c>
      <c r="B136" s="0" t="inlineStr">
        <is>
          <t>PF</t>
        </is>
      </c>
      <c r="C136" s="4">
        <v>1</v>
      </c>
      <c r="D136" s="4">
        <v>1</v>
      </c>
      <c r="E136" s="0" t="inlineStr">
        <is>
          <t>Obwód nadgarstka</t>
        </is>
      </c>
      <c r="F136" s="9">
        <v>18.0</v>
      </c>
      <c r="G136" s="9">
        <v>17.0</v>
      </c>
      <c r="H136" s="3">
        <f>IF(G136="","",F136-G136)</f>
        <v>1.0</v>
      </c>
      <c r="I136" s="2">
        <f>IF(H136="","",ABS(H136))</f>
        <v>1.0</v>
      </c>
      <c r="J136" s="3">
        <v>1.0</v>
      </c>
      <c r="K136" s="0" t="inlineStr">
        <is>
          <t>OK</t>
        </is>
      </c>
    </row>
    <row r="137">
      <c r="A137" s="0" t="inlineStr">
        <is>
          <t>PF-1photo-1.pdf</t>
        </is>
      </c>
      <c r="B137" s="0" t="inlineStr">
        <is>
          <t>PF</t>
        </is>
      </c>
      <c r="C137" s="4">
        <v>1</v>
      </c>
      <c r="D137" s="4">
        <v>1</v>
      </c>
      <c r="E137" s="0" t="inlineStr">
        <is>
          <t>Długość tułowia</t>
        </is>
      </c>
      <c r="F137" s="9">
        <v>65.0</v>
      </c>
      <c r="H137" s="3" t="str">
        <f>IF(G137="","",F137-G137)</f>
        <v/>
      </c>
      <c r="I137" s="2" t="str">
        <f>IF(H137="","",ABS(H137))</f>
        <v/>
      </c>
      <c r="K137" s="10" t="inlineStr">
        <is>
          <t>Brak rzeczywistego</t>
        </is>
      </c>
    </row>
    <row r="138">
      <c r="A138" s="0" t="inlineStr">
        <is>
          <t>PF-1photo-1.pdf</t>
        </is>
      </c>
      <c r="B138" s="0" t="inlineStr">
        <is>
          <t>PF</t>
        </is>
      </c>
      <c r="C138" s="4">
        <v>1</v>
      </c>
      <c r="D138" s="4">
        <v>1</v>
      </c>
      <c r="E138" s="0" t="inlineStr">
        <is>
          <t>Długość przodu</t>
        </is>
      </c>
      <c r="F138" s="9">
        <v>56.0</v>
      </c>
      <c r="H138" s="3" t="str">
        <f>IF(G138="","",F138-G138)</f>
        <v/>
      </c>
      <c r="I138" s="2" t="str">
        <f>IF(H138="","",ABS(H138))</f>
        <v/>
      </c>
      <c r="K138" s="10" t="inlineStr">
        <is>
          <t>Brak rzeczywistego</t>
        </is>
      </c>
    </row>
    <row r="139">
      <c r="A139" s="0" t="inlineStr">
        <is>
          <t>PF-1photo-1.pdf</t>
        </is>
      </c>
      <c r="B139" s="0" t="inlineStr">
        <is>
          <t>PF</t>
        </is>
      </c>
      <c r="C139" s="4">
        <v>1</v>
      </c>
      <c r="D139" s="4">
        <v>1</v>
      </c>
      <c r="E139" s="0" t="inlineStr">
        <is>
          <t>Długość pleców</t>
        </is>
      </c>
      <c r="F139" s="9">
        <v>54.0</v>
      </c>
      <c r="H139" s="3" t="str">
        <f>IF(G139="","",F139-G139)</f>
        <v/>
      </c>
      <c r="I139" s="2" t="str">
        <f>IF(H139="","",ABS(H139))</f>
        <v/>
      </c>
      <c r="K139" s="10" t="inlineStr">
        <is>
          <t>Brak rzeczywistego</t>
        </is>
      </c>
    </row>
    <row r="140">
      <c r="A140" s="0" t="inlineStr">
        <is>
          <t>PF-1photo-1.pdf</t>
        </is>
      </c>
      <c r="B140" s="0" t="inlineStr">
        <is>
          <t>PF</t>
        </is>
      </c>
      <c r="C140" s="4">
        <v>1</v>
      </c>
      <c r="D140" s="4">
        <v>1</v>
      </c>
      <c r="E140" s="0" t="inlineStr">
        <is>
          <t>Długość pleców do bioder</t>
        </is>
      </c>
      <c r="F140" s="9">
        <v>65.0</v>
      </c>
      <c r="H140" s="3" t="str">
        <f>IF(G140="","",F140-G140)</f>
        <v/>
      </c>
      <c r="I140" s="2" t="str">
        <f>IF(H140="","",ABS(H140))</f>
        <v/>
      </c>
      <c r="K140" s="10" t="inlineStr">
        <is>
          <t>Brak rzeczywistego</t>
        </is>
      </c>
    </row>
    <row r="141">
      <c r="A141" s="0" t="inlineStr">
        <is>
          <t>PF-1photo-1.pdf</t>
        </is>
      </c>
      <c r="B141" s="0" t="inlineStr">
        <is>
          <t>PF</t>
        </is>
      </c>
      <c r="C141" s="4">
        <v>1</v>
      </c>
      <c r="D141" s="4">
        <v>1</v>
      </c>
      <c r="E141" s="0" t="inlineStr">
        <is>
          <t>Obwód talii</t>
        </is>
      </c>
      <c r="F141" s="9">
        <v>99.0</v>
      </c>
      <c r="G141" s="9">
        <v>93.0</v>
      </c>
      <c r="H141" s="3">
        <f>IF(G141="","",F141-G141)</f>
        <v>6.0</v>
      </c>
      <c r="I141" s="2">
        <f>IF(H141="","",ABS(H141))</f>
        <v>6.0</v>
      </c>
      <c r="J141" s="3">
        <v>6.0</v>
      </c>
      <c r="K141" s="0" t="inlineStr">
        <is>
          <t>OK</t>
        </is>
      </c>
    </row>
    <row r="142">
      <c r="A142" s="0" t="inlineStr">
        <is>
          <t>PF-1photo-1.pdf</t>
        </is>
      </c>
      <c r="B142" s="0" t="inlineStr">
        <is>
          <t>PF</t>
        </is>
      </c>
      <c r="C142" s="4">
        <v>1</v>
      </c>
      <c r="D142" s="4">
        <v>1</v>
      </c>
      <c r="E142" s="0" t="inlineStr">
        <is>
          <t>Obwód bioder</t>
        </is>
      </c>
      <c r="F142" s="9">
        <v>111.0</v>
      </c>
      <c r="G142" s="9">
        <v>106.0</v>
      </c>
      <c r="H142" s="3">
        <f>IF(G142="","",F142-G142)</f>
        <v>5.0</v>
      </c>
      <c r="I142" s="2">
        <f>IF(H142="","",ABS(H142))</f>
        <v>5.0</v>
      </c>
      <c r="J142" s="3">
        <v>5.0</v>
      </c>
      <c r="K142" s="0" t="inlineStr">
        <is>
          <t>OK</t>
        </is>
      </c>
    </row>
    <row r="143">
      <c r="A143" s="0" t="inlineStr">
        <is>
          <t>PF-1photo-1.pdf</t>
        </is>
      </c>
      <c r="B143" s="0" t="inlineStr">
        <is>
          <t>PF</t>
        </is>
      </c>
      <c r="C143" s="4">
        <v>1</v>
      </c>
      <c r="D143" s="4">
        <v>1</v>
      </c>
      <c r="E143" s="0" t="inlineStr">
        <is>
          <t>Wysokość stanu</t>
        </is>
      </c>
      <c r="F143" s="9">
        <v>86.0</v>
      </c>
      <c r="H143" s="3" t="str">
        <f>IF(G143="","",F143-G143)</f>
        <v/>
      </c>
      <c r="I143" s="2" t="str">
        <f>IF(H143="","",ABS(H143))</f>
        <v/>
      </c>
      <c r="K143" s="10" t="inlineStr">
        <is>
          <t>Brak rzeczywistego</t>
        </is>
      </c>
    </row>
    <row r="144">
      <c r="A144" s="0" t="inlineStr">
        <is>
          <t>PF-1photo-1.pdf</t>
        </is>
      </c>
      <c r="B144" s="0" t="inlineStr">
        <is>
          <t>PF</t>
        </is>
      </c>
      <c r="C144" s="4">
        <v>1</v>
      </c>
      <c r="D144" s="4">
        <v>1</v>
      </c>
      <c r="E144" s="0" t="inlineStr">
        <is>
          <t>Obwód uda</t>
        </is>
      </c>
      <c r="F144" s="9">
        <v>62.0</v>
      </c>
      <c r="G144" s="9">
        <v>61.0</v>
      </c>
      <c r="H144" s="3">
        <f>IF(G144="","",F144-G144)</f>
        <v>1.0</v>
      </c>
      <c r="I144" s="2">
        <f>IF(H144="","",ABS(H144))</f>
        <v>1.0</v>
      </c>
      <c r="J144" s="3">
        <v>1.0</v>
      </c>
      <c r="K144" s="0" t="inlineStr">
        <is>
          <t>OK</t>
        </is>
      </c>
    </row>
    <row r="145">
      <c r="A145" s="0" t="inlineStr">
        <is>
          <t>PF-1photo-1.pdf</t>
        </is>
      </c>
      <c r="B145" s="0" t="inlineStr">
        <is>
          <t>PF</t>
        </is>
      </c>
      <c r="C145" s="4">
        <v>1</v>
      </c>
      <c r="D145" s="4">
        <v>1</v>
      </c>
      <c r="E145" s="0" t="inlineStr">
        <is>
          <t>Długość nogawki po wewnętrznej</t>
        </is>
      </c>
      <c r="F145" s="9">
        <v>90.0</v>
      </c>
      <c r="H145" s="3" t="str">
        <f>IF(G145="","",F145-G145)</f>
        <v/>
      </c>
      <c r="I145" s="2" t="str">
        <f>IF(H145="","",ABS(H145))</f>
        <v/>
      </c>
      <c r="K145" s="10" t="inlineStr">
        <is>
          <t>Brak rzeczywistego</t>
        </is>
      </c>
    </row>
    <row r="146">
      <c r="A146" s="0" t="inlineStr">
        <is>
          <t>PF-1photo-1.pdf</t>
        </is>
      </c>
      <c r="B146" s="0" t="inlineStr">
        <is>
          <t>PF</t>
        </is>
      </c>
      <c r="C146" s="4">
        <v>1</v>
      </c>
      <c r="D146" s="4">
        <v>1</v>
      </c>
      <c r="E146" s="0" t="inlineStr">
        <is>
          <t>Obwód kolana</t>
        </is>
      </c>
      <c r="F146" s="9">
        <v>57.0</v>
      </c>
      <c r="G146" s="9">
        <v>41.0</v>
      </c>
      <c r="H146" s="3">
        <f>IF(G146="","",F146-G146)</f>
        <v>16.0</v>
      </c>
      <c r="I146" s="2">
        <f>IF(H146="","",ABS(H146))</f>
        <v>16.0</v>
      </c>
      <c r="J146" s="3">
        <v>16.0</v>
      </c>
      <c r="K146" s="0" t="inlineStr">
        <is>
          <t>OK</t>
        </is>
      </c>
    </row>
    <row r="147">
      <c r="A147" s="0" t="inlineStr">
        <is>
          <t>PF-1photo-1.pdf</t>
        </is>
      </c>
      <c r="B147" s="0" t="inlineStr">
        <is>
          <t>PF</t>
        </is>
      </c>
      <c r="C147" s="4">
        <v>1</v>
      </c>
      <c r="D147" s="4">
        <v>1</v>
      </c>
      <c r="E147" s="0" t="inlineStr">
        <is>
          <t>Obwód łydki</t>
        </is>
      </c>
      <c r="F147" s="9">
        <v>32.0</v>
      </c>
      <c r="G147" s="9">
        <v>39.0</v>
      </c>
      <c r="H147" s="3">
        <f>IF(G147="","",F147-G147)</f>
        <v>-7.0</v>
      </c>
      <c r="I147" s="2">
        <f>IF(H147="","",ABS(H147))</f>
        <v>7.0</v>
      </c>
      <c r="J147" s="3">
        <v>-7.0</v>
      </c>
      <c r="K147" s="0" t="inlineStr">
        <is>
          <t>OK</t>
        </is>
      </c>
    </row>
    <row r="148">
      <c r="A148" s="0" t="inlineStr">
        <is>
          <t>PF-1photo-1.pdf</t>
        </is>
      </c>
      <c r="B148" s="0" t="inlineStr">
        <is>
          <t>PF</t>
        </is>
      </c>
      <c r="C148" s="4">
        <v>1</v>
      </c>
      <c r="D148" s="4">
        <v>1</v>
      </c>
      <c r="E148" s="0" t="inlineStr">
        <is>
          <t>Obwód kostki</t>
        </is>
      </c>
      <c r="F148" s="9">
        <v>17.0</v>
      </c>
      <c r="G148" s="9">
        <v>25.0</v>
      </c>
      <c r="H148" s="3">
        <f>IF(G148="","",F148-G148)</f>
        <v>-8.0</v>
      </c>
      <c r="I148" s="2">
        <f>IF(H148="","",ABS(H148))</f>
        <v>8.0</v>
      </c>
      <c r="J148" s="3">
        <v>-8.0</v>
      </c>
      <c r="K148" s="0" t="inlineStr">
        <is>
          <t>OK</t>
        </is>
      </c>
    </row>
    <row r="149">
      <c r="A149" s="0" t="inlineStr">
        <is>
          <t>PF-1photo-2.pdf</t>
        </is>
      </c>
      <c r="B149" s="0" t="inlineStr">
        <is>
          <t>PF</t>
        </is>
      </c>
      <c r="C149" s="4">
        <v>2</v>
      </c>
      <c r="D149" s="4">
        <v>1</v>
      </c>
      <c r="E149" s="0" t="inlineStr">
        <is>
          <t>Wzrost</t>
        </is>
      </c>
      <c r="F149" s="9">
        <v>191.0</v>
      </c>
      <c r="G149" s="9">
        <v>191.0</v>
      </c>
      <c r="H149" s="3">
        <f>IF(G149="","",F149-G149)</f>
        <v>0.0</v>
      </c>
      <c r="I149" s="2">
        <f>IF(H149="","",ABS(H149))</f>
        <v>0.0</v>
      </c>
      <c r="J149" s="3">
        <v>0.0</v>
      </c>
      <c r="K149" s="0" t="inlineStr">
        <is>
          <t>OK</t>
        </is>
      </c>
    </row>
    <row r="150">
      <c r="A150" s="0" t="inlineStr">
        <is>
          <t>PF-1photo-2.pdf</t>
        </is>
      </c>
      <c r="B150" s="0" t="inlineStr">
        <is>
          <t>PF</t>
        </is>
      </c>
      <c r="C150" s="4">
        <v>2</v>
      </c>
      <c r="D150" s="4">
        <v>1</v>
      </c>
      <c r="E150" s="0" t="inlineStr">
        <is>
          <t>Obwód szyi</t>
        </is>
      </c>
      <c r="F150" s="9">
        <v>49.0</v>
      </c>
      <c r="G150" s="9">
        <v>41.0</v>
      </c>
      <c r="H150" s="3">
        <f>IF(G150="","",F150-G150)</f>
        <v>8.0</v>
      </c>
      <c r="I150" s="2">
        <f>IF(H150="","",ABS(H150))</f>
        <v>8.0</v>
      </c>
      <c r="J150" s="3">
        <v>8.0</v>
      </c>
      <c r="K150" s="0" t="inlineStr">
        <is>
          <t>OK</t>
        </is>
      </c>
    </row>
    <row r="151">
      <c r="A151" s="0" t="inlineStr">
        <is>
          <t>PF-1photo-2.pdf</t>
        </is>
      </c>
      <c r="B151" s="0" t="inlineStr">
        <is>
          <t>PF</t>
        </is>
      </c>
      <c r="C151" s="4">
        <v>2</v>
      </c>
      <c r="D151" s="4">
        <v>1</v>
      </c>
      <c r="E151" s="0" t="inlineStr">
        <is>
          <t>Szerokość ramion</t>
        </is>
      </c>
      <c r="F151" s="9">
        <v>50.0</v>
      </c>
      <c r="H151" s="3" t="str">
        <f>IF(G151="","",F151-G151)</f>
        <v/>
      </c>
      <c r="I151" s="2" t="str">
        <f>IF(H151="","",ABS(H151))</f>
        <v/>
      </c>
      <c r="K151" s="10" t="inlineStr">
        <is>
          <t>Brak rzeczywistego</t>
        </is>
      </c>
    </row>
    <row r="152">
      <c r="A152" s="0" t="inlineStr">
        <is>
          <t>PF-1photo-2.pdf</t>
        </is>
      </c>
      <c r="B152" s="0" t="inlineStr">
        <is>
          <t>PF</t>
        </is>
      </c>
      <c r="C152" s="4">
        <v>2</v>
      </c>
      <c r="D152" s="4">
        <v>1</v>
      </c>
      <c r="E152" s="0" t="inlineStr">
        <is>
          <t>Obwód klatki piersiowej</t>
        </is>
      </c>
      <c r="F152" s="9">
        <v>101.0</v>
      </c>
      <c r="G152" s="9">
        <v>103.0</v>
      </c>
      <c r="H152" s="3">
        <f>IF(G152="","",F152-G152)</f>
        <v>-2.0</v>
      </c>
      <c r="I152" s="2">
        <f>IF(H152="","",ABS(H152))</f>
        <v>2.0</v>
      </c>
      <c r="J152" s="3">
        <v>-2.0</v>
      </c>
      <c r="K152" s="0" t="inlineStr">
        <is>
          <t>OK</t>
        </is>
      </c>
    </row>
    <row r="153">
      <c r="A153" s="0" t="inlineStr">
        <is>
          <t>PF-1photo-2.pdf</t>
        </is>
      </c>
      <c r="B153" s="0" t="inlineStr">
        <is>
          <t>PF</t>
        </is>
      </c>
      <c r="C153" s="4">
        <v>2</v>
      </c>
      <c r="D153" s="4">
        <v>1</v>
      </c>
      <c r="E153" s="0" t="inlineStr">
        <is>
          <t>Obwód biustu</t>
        </is>
      </c>
      <c r="F153" s="9">
        <v>101.0</v>
      </c>
      <c r="G153" s="9">
        <v>103.0</v>
      </c>
      <c r="H153" s="3">
        <f>IF(G153="","",F153-G153)</f>
        <v>-2.0</v>
      </c>
      <c r="I153" s="2">
        <f>IF(H153="","",ABS(H153))</f>
        <v>2.0</v>
      </c>
      <c r="J153" s="3">
        <v>-2.0</v>
      </c>
      <c r="K153" s="0" t="inlineStr">
        <is>
          <t>OK</t>
        </is>
      </c>
    </row>
    <row r="154">
      <c r="A154" s="0" t="inlineStr">
        <is>
          <t>PF-1photo-2.pdf</t>
        </is>
      </c>
      <c r="B154" s="0" t="inlineStr">
        <is>
          <t>PF</t>
        </is>
      </c>
      <c r="C154" s="4">
        <v>2</v>
      </c>
      <c r="D154" s="4">
        <v>1</v>
      </c>
      <c r="E154" s="0" t="inlineStr">
        <is>
          <t>Obwód pod biustem</t>
        </is>
      </c>
      <c r="F154" s="9">
        <v>96.0</v>
      </c>
      <c r="G154" s="9">
        <v>93.0</v>
      </c>
      <c r="H154" s="3">
        <f>IF(G154="","",F154-G154)</f>
        <v>3.0</v>
      </c>
      <c r="I154" s="2">
        <f>IF(H154="","",ABS(H154))</f>
        <v>3.0</v>
      </c>
      <c r="J154" s="3">
        <v>3.0</v>
      </c>
      <c r="K154" s="0" t="inlineStr">
        <is>
          <t>OK</t>
        </is>
      </c>
    </row>
    <row r="155">
      <c r="A155" s="0" t="inlineStr">
        <is>
          <t>PF-1photo-2.pdf</t>
        </is>
      </c>
      <c r="B155" s="0" t="inlineStr">
        <is>
          <t>PF</t>
        </is>
      </c>
      <c r="C155" s="4">
        <v>2</v>
      </c>
      <c r="D155" s="4">
        <v>1</v>
      </c>
      <c r="E155" s="0" t="inlineStr">
        <is>
          <t>Długość ramienia</t>
        </is>
      </c>
      <c r="F155" s="9">
        <v>62.0</v>
      </c>
      <c r="H155" s="3" t="str">
        <f>IF(G155="","",F155-G155)</f>
        <v/>
      </c>
      <c r="I155" s="2" t="str">
        <f>IF(H155="","",ABS(H155))</f>
        <v/>
      </c>
      <c r="K155" s="10" t="inlineStr">
        <is>
          <t>Brak rzeczywistego</t>
        </is>
      </c>
    </row>
    <row r="156">
      <c r="A156" s="0" t="inlineStr">
        <is>
          <t>PF-1photo-2.pdf</t>
        </is>
      </c>
      <c r="B156" s="0" t="inlineStr">
        <is>
          <t>PF</t>
        </is>
      </c>
      <c r="C156" s="4">
        <v>2</v>
      </c>
      <c r="D156" s="4">
        <v>1</v>
      </c>
      <c r="E156" s="0" t="inlineStr">
        <is>
          <t>Obwód ramienia</t>
        </is>
      </c>
      <c r="F156" s="9">
        <v>27.0</v>
      </c>
      <c r="G156" s="9">
        <v>32.0</v>
      </c>
      <c r="H156" s="3">
        <f>IF(G156="","",F156-G156)</f>
        <v>-5.0</v>
      </c>
      <c r="I156" s="2">
        <f>IF(H156="","",ABS(H156))</f>
        <v>5.0</v>
      </c>
      <c r="J156" s="3">
        <v>-5.0</v>
      </c>
      <c r="K156" s="0" t="inlineStr">
        <is>
          <t>OK</t>
        </is>
      </c>
    </row>
    <row r="157">
      <c r="A157" s="0" t="inlineStr">
        <is>
          <t>PF-1photo-2.pdf</t>
        </is>
      </c>
      <c r="B157" s="0" t="inlineStr">
        <is>
          <t>PF</t>
        </is>
      </c>
      <c r="C157" s="4">
        <v>2</v>
      </c>
      <c r="D157" s="4">
        <v>1</v>
      </c>
      <c r="E157" s="0" t="inlineStr">
        <is>
          <t>Obwód nadgarstka</t>
        </is>
      </c>
      <c r="F157" s="9">
        <v>19.0</v>
      </c>
      <c r="G157" s="9">
        <v>17.0</v>
      </c>
      <c r="H157" s="3">
        <f>IF(G157="","",F157-G157)</f>
        <v>2.0</v>
      </c>
      <c r="I157" s="2">
        <f>IF(H157="","",ABS(H157))</f>
        <v>2.0</v>
      </c>
      <c r="J157" s="3">
        <v>2.0</v>
      </c>
      <c r="K157" s="0" t="inlineStr">
        <is>
          <t>OK</t>
        </is>
      </c>
    </row>
    <row r="158">
      <c r="A158" s="0" t="inlineStr">
        <is>
          <t>PF-1photo-2.pdf</t>
        </is>
      </c>
      <c r="B158" s="0" t="inlineStr">
        <is>
          <t>PF</t>
        </is>
      </c>
      <c r="C158" s="4">
        <v>2</v>
      </c>
      <c r="D158" s="4">
        <v>1</v>
      </c>
      <c r="E158" s="0" t="inlineStr">
        <is>
          <t>Długość tułowia</t>
        </is>
      </c>
      <c r="F158" s="9">
        <v>72.0</v>
      </c>
      <c r="H158" s="3" t="str">
        <f>IF(G158="","",F158-G158)</f>
        <v/>
      </c>
      <c r="I158" s="2" t="str">
        <f>IF(H158="","",ABS(H158))</f>
        <v/>
      </c>
      <c r="K158" s="10" t="inlineStr">
        <is>
          <t>Brak rzeczywistego</t>
        </is>
      </c>
    </row>
    <row r="159">
      <c r="A159" s="0" t="inlineStr">
        <is>
          <t>PF-1photo-2.pdf</t>
        </is>
      </c>
      <c r="B159" s="0" t="inlineStr">
        <is>
          <t>PF</t>
        </is>
      </c>
      <c r="C159" s="4">
        <v>2</v>
      </c>
      <c r="D159" s="4">
        <v>1</v>
      </c>
      <c r="E159" s="0" t="inlineStr">
        <is>
          <t>Długość przodu</t>
        </is>
      </c>
      <c r="F159" s="9">
        <v>62.0</v>
      </c>
      <c r="H159" s="3" t="str">
        <f>IF(G159="","",F159-G159)</f>
        <v/>
      </c>
      <c r="I159" s="2" t="str">
        <f>IF(H159="","",ABS(H159))</f>
        <v/>
      </c>
      <c r="K159" s="10" t="inlineStr">
        <is>
          <t>Brak rzeczywistego</t>
        </is>
      </c>
    </row>
    <row r="160">
      <c r="A160" s="0" t="inlineStr">
        <is>
          <t>PF-1photo-2.pdf</t>
        </is>
      </c>
      <c r="B160" s="0" t="inlineStr">
        <is>
          <t>PF</t>
        </is>
      </c>
      <c r="C160" s="4">
        <v>2</v>
      </c>
      <c r="D160" s="4">
        <v>1</v>
      </c>
      <c r="E160" s="0" t="inlineStr">
        <is>
          <t>Długość pleców</t>
        </is>
      </c>
      <c r="F160" s="9">
        <v>60.0</v>
      </c>
      <c r="H160" s="3" t="str">
        <f>IF(G160="","",F160-G160)</f>
        <v/>
      </c>
      <c r="I160" s="2" t="str">
        <f>IF(H160="","",ABS(H160))</f>
        <v/>
      </c>
      <c r="K160" s="10" t="inlineStr">
        <is>
          <t>Brak rzeczywistego</t>
        </is>
      </c>
    </row>
    <row r="161">
      <c r="A161" s="0" t="inlineStr">
        <is>
          <t>PF-1photo-2.pdf</t>
        </is>
      </c>
      <c r="B161" s="0" t="inlineStr">
        <is>
          <t>PF</t>
        </is>
      </c>
      <c r="C161" s="4">
        <v>2</v>
      </c>
      <c r="D161" s="4">
        <v>1</v>
      </c>
      <c r="E161" s="0" t="inlineStr">
        <is>
          <t>Długość pleców do bioder</t>
        </is>
      </c>
      <c r="F161" s="9">
        <v>72.0</v>
      </c>
      <c r="H161" s="3" t="str">
        <f>IF(G161="","",F161-G161)</f>
        <v/>
      </c>
      <c r="I161" s="2" t="str">
        <f>IF(H161="","",ABS(H161))</f>
        <v/>
      </c>
      <c r="K161" s="10" t="inlineStr">
        <is>
          <t>Brak rzeczywistego</t>
        </is>
      </c>
    </row>
    <row r="162">
      <c r="A162" s="0" t="inlineStr">
        <is>
          <t>PF-1photo-2.pdf</t>
        </is>
      </c>
      <c r="B162" s="0" t="inlineStr">
        <is>
          <t>PF</t>
        </is>
      </c>
      <c r="C162" s="4">
        <v>2</v>
      </c>
      <c r="D162" s="4">
        <v>1</v>
      </c>
      <c r="E162" s="0" t="inlineStr">
        <is>
          <t>Obwód talii</t>
        </is>
      </c>
      <c r="F162" s="9">
        <v>110.0</v>
      </c>
      <c r="G162" s="9">
        <v>93.0</v>
      </c>
      <c r="H162" s="3">
        <f>IF(G162="","",F162-G162)</f>
        <v>17.0</v>
      </c>
      <c r="I162" s="2">
        <f>IF(H162="","",ABS(H162))</f>
        <v>17.0</v>
      </c>
      <c r="J162" s="3">
        <v>17.0</v>
      </c>
      <c r="K162" s="0" t="inlineStr">
        <is>
          <t>OK</t>
        </is>
      </c>
    </row>
    <row r="163">
      <c r="A163" s="0" t="inlineStr">
        <is>
          <t>PF-1photo-2.pdf</t>
        </is>
      </c>
      <c r="B163" s="0" t="inlineStr">
        <is>
          <t>PF</t>
        </is>
      </c>
      <c r="C163" s="4">
        <v>2</v>
      </c>
      <c r="D163" s="4">
        <v>1</v>
      </c>
      <c r="E163" s="0" t="inlineStr">
        <is>
          <t>Obwód bioder</t>
        </is>
      </c>
      <c r="F163" s="9">
        <v>124.0</v>
      </c>
      <c r="G163" s="9">
        <v>106.0</v>
      </c>
      <c r="H163" s="3">
        <f>IF(G163="","",F163-G163)</f>
        <v>18.0</v>
      </c>
      <c r="I163" s="2">
        <f>IF(H163="","",ABS(H163))</f>
        <v>18.0</v>
      </c>
      <c r="J163" s="3">
        <v>18.0</v>
      </c>
      <c r="K163" s="0" t="inlineStr">
        <is>
          <t>OK</t>
        </is>
      </c>
    </row>
    <row r="164">
      <c r="A164" s="0" t="inlineStr">
        <is>
          <t>PF-1photo-2.pdf</t>
        </is>
      </c>
      <c r="B164" s="0" t="inlineStr">
        <is>
          <t>PF</t>
        </is>
      </c>
      <c r="C164" s="4">
        <v>2</v>
      </c>
      <c r="D164" s="4">
        <v>1</v>
      </c>
      <c r="E164" s="0" t="inlineStr">
        <is>
          <t>Wysokość stanu</t>
        </is>
      </c>
      <c r="F164" s="9">
        <v>96.0</v>
      </c>
      <c r="H164" s="3" t="str">
        <f>IF(G164="","",F164-G164)</f>
        <v/>
      </c>
      <c r="I164" s="2" t="str">
        <f>IF(H164="","",ABS(H164))</f>
        <v/>
      </c>
      <c r="K164" s="10" t="inlineStr">
        <is>
          <t>Brak rzeczywistego</t>
        </is>
      </c>
    </row>
    <row r="165">
      <c r="A165" s="0" t="inlineStr">
        <is>
          <t>PF-1photo-2.pdf</t>
        </is>
      </c>
      <c r="B165" s="0" t="inlineStr">
        <is>
          <t>PF</t>
        </is>
      </c>
      <c r="C165" s="4">
        <v>2</v>
      </c>
      <c r="D165" s="4">
        <v>1</v>
      </c>
      <c r="E165" s="0" t="inlineStr">
        <is>
          <t>Obwód uda</t>
        </is>
      </c>
      <c r="F165" s="9">
        <v>68.0</v>
      </c>
      <c r="G165" s="9">
        <v>61.0</v>
      </c>
      <c r="H165" s="3">
        <f>IF(G165="","",F165-G165)</f>
        <v>7.0</v>
      </c>
      <c r="I165" s="2">
        <f>IF(H165="","",ABS(H165))</f>
        <v>7.0</v>
      </c>
      <c r="J165" s="3">
        <v>7.0</v>
      </c>
      <c r="K165" s="0" t="inlineStr">
        <is>
          <t>OK</t>
        </is>
      </c>
    </row>
    <row r="166">
      <c r="A166" s="0" t="inlineStr">
        <is>
          <t>PF-1photo-2.pdf</t>
        </is>
      </c>
      <c r="B166" s="0" t="inlineStr">
        <is>
          <t>PF</t>
        </is>
      </c>
      <c r="C166" s="4">
        <v>2</v>
      </c>
      <c r="D166" s="4">
        <v>1</v>
      </c>
      <c r="E166" s="0" t="inlineStr">
        <is>
          <t>Długość nogawki po wewnętrznej</t>
        </is>
      </c>
      <c r="F166" s="9">
        <v>79.0</v>
      </c>
      <c r="H166" s="3" t="str">
        <f>IF(G166="","",F166-G166)</f>
        <v/>
      </c>
      <c r="I166" s="2" t="str">
        <f>IF(H166="","",ABS(H166))</f>
        <v/>
      </c>
      <c r="K166" s="10" t="inlineStr">
        <is>
          <t>Brak rzeczywistego</t>
        </is>
      </c>
    </row>
    <row r="167">
      <c r="A167" s="0" t="inlineStr">
        <is>
          <t>PF-1photo-2.pdf</t>
        </is>
      </c>
      <c r="B167" s="0" t="inlineStr">
        <is>
          <t>PF</t>
        </is>
      </c>
      <c r="C167" s="4">
        <v>2</v>
      </c>
      <c r="D167" s="4">
        <v>1</v>
      </c>
      <c r="E167" s="0" t="inlineStr">
        <is>
          <t>Obwód kolana</t>
        </is>
      </c>
      <c r="F167" s="9">
        <v>63.0</v>
      </c>
      <c r="G167" s="9">
        <v>41.0</v>
      </c>
      <c r="H167" s="3">
        <f>IF(G167="","",F167-G167)</f>
        <v>22.0</v>
      </c>
      <c r="I167" s="2">
        <f>IF(H167="","",ABS(H167))</f>
        <v>22.0</v>
      </c>
      <c r="J167" s="3">
        <v>22.0</v>
      </c>
      <c r="K167" s="0" t="inlineStr">
        <is>
          <t>OK</t>
        </is>
      </c>
    </row>
    <row r="168">
      <c r="A168" s="0" t="inlineStr">
        <is>
          <t>PF-1photo-2.pdf</t>
        </is>
      </c>
      <c r="B168" s="0" t="inlineStr">
        <is>
          <t>PF</t>
        </is>
      </c>
      <c r="C168" s="4">
        <v>2</v>
      </c>
      <c r="D168" s="4">
        <v>1</v>
      </c>
      <c r="E168" s="0" t="inlineStr">
        <is>
          <t>Obwód łydki</t>
        </is>
      </c>
      <c r="F168" s="9">
        <v>34.0</v>
      </c>
      <c r="G168" s="9">
        <v>39.0</v>
      </c>
      <c r="H168" s="3">
        <f>IF(G168="","",F168-G168)</f>
        <v>-5.0</v>
      </c>
      <c r="I168" s="2">
        <f>IF(H168="","",ABS(H168))</f>
        <v>5.0</v>
      </c>
      <c r="J168" s="3">
        <v>-5.0</v>
      </c>
      <c r="K168" s="0" t="inlineStr">
        <is>
          <t>OK</t>
        </is>
      </c>
    </row>
    <row r="169">
      <c r="A169" s="0" t="inlineStr">
        <is>
          <t>PF-1photo-2.pdf</t>
        </is>
      </c>
      <c r="B169" s="0" t="inlineStr">
        <is>
          <t>PF</t>
        </is>
      </c>
      <c r="C169" s="4">
        <v>2</v>
      </c>
      <c r="D169" s="4">
        <v>1</v>
      </c>
      <c r="E169" s="0" t="inlineStr">
        <is>
          <t>Obwód kostki</t>
        </is>
      </c>
      <c r="F169" s="9">
        <v>18.0</v>
      </c>
      <c r="G169" s="9">
        <v>25.0</v>
      </c>
      <c r="H169" s="3">
        <f>IF(G169="","",F169-G169)</f>
        <v>-7.0</v>
      </c>
      <c r="I169" s="2">
        <f>IF(H169="","",ABS(H169))</f>
        <v>7.0</v>
      </c>
      <c r="J169" s="3">
        <v>-7.0</v>
      </c>
      <c r="K169" s="0" t="inlineStr">
        <is>
          <t>OK</t>
        </is>
      </c>
    </row>
    <row r="170">
      <c r="A170" s="0" t="inlineStr">
        <is>
          <t>PF-2photos-1.pdf</t>
        </is>
      </c>
      <c r="B170" s="0" t="inlineStr">
        <is>
          <t>PF</t>
        </is>
      </c>
      <c r="C170" s="4">
        <v>1</v>
      </c>
      <c r="D170" s="4">
        <v>2</v>
      </c>
      <c r="E170" s="0" t="inlineStr">
        <is>
          <t>Wzrost</t>
        </is>
      </c>
      <c r="F170" s="9">
        <v>191.0</v>
      </c>
      <c r="G170" s="9">
        <v>191.0</v>
      </c>
      <c r="H170" s="3">
        <f>IF(G170="","",F170-G170)</f>
        <v>0.0</v>
      </c>
      <c r="I170" s="2">
        <f>IF(H170="","",ABS(H170))</f>
        <v>0.0</v>
      </c>
      <c r="J170" s="3">
        <v>0.0</v>
      </c>
      <c r="K170" s="0" t="inlineStr">
        <is>
          <t>OK</t>
        </is>
      </c>
    </row>
    <row r="171">
      <c r="A171" s="0" t="inlineStr">
        <is>
          <t>PF-2photos-1.pdf</t>
        </is>
      </c>
      <c r="B171" s="0" t="inlineStr">
        <is>
          <t>PF</t>
        </is>
      </c>
      <c r="C171" s="4">
        <v>1</v>
      </c>
      <c r="D171" s="4">
        <v>2</v>
      </c>
      <c r="E171" s="0" t="inlineStr">
        <is>
          <t>Obwód szyi</t>
        </is>
      </c>
      <c r="F171" s="9">
        <v>43.0</v>
      </c>
      <c r="G171" s="9">
        <v>41.0</v>
      </c>
      <c r="H171" s="3">
        <f>IF(G171="","",F171-G171)</f>
        <v>2.0</v>
      </c>
      <c r="I171" s="2">
        <f>IF(H171="","",ABS(H171))</f>
        <v>2.0</v>
      </c>
      <c r="J171" s="3">
        <v>2.0</v>
      </c>
      <c r="K171" s="0" t="inlineStr">
        <is>
          <t>OK</t>
        </is>
      </c>
    </row>
    <row r="172">
      <c r="A172" s="0" t="inlineStr">
        <is>
          <t>PF-2photos-1.pdf</t>
        </is>
      </c>
      <c r="B172" s="0" t="inlineStr">
        <is>
          <t>PF</t>
        </is>
      </c>
      <c r="C172" s="4">
        <v>1</v>
      </c>
      <c r="D172" s="4">
        <v>2</v>
      </c>
      <c r="E172" s="0" t="inlineStr">
        <is>
          <t>Szerokość ramion</t>
        </is>
      </c>
      <c r="F172" s="9">
        <v>44.0</v>
      </c>
      <c r="H172" s="3" t="str">
        <f>IF(G172="","",F172-G172)</f>
        <v/>
      </c>
      <c r="I172" s="2" t="str">
        <f>IF(H172="","",ABS(H172))</f>
        <v/>
      </c>
      <c r="K172" s="10" t="inlineStr">
        <is>
          <t>Brak rzeczywistego</t>
        </is>
      </c>
    </row>
    <row r="173">
      <c r="A173" s="0" t="inlineStr">
        <is>
          <t>PF-2photos-1.pdf</t>
        </is>
      </c>
      <c r="B173" s="0" t="inlineStr">
        <is>
          <t>PF</t>
        </is>
      </c>
      <c r="C173" s="4">
        <v>1</v>
      </c>
      <c r="D173" s="4">
        <v>2</v>
      </c>
      <c r="E173" s="0" t="inlineStr">
        <is>
          <t>Obwód klatki piersiowej</t>
        </is>
      </c>
      <c r="F173" s="9">
        <v>93.0</v>
      </c>
      <c r="G173" s="9">
        <v>103.0</v>
      </c>
      <c r="H173" s="3">
        <f>IF(G173="","",F173-G173)</f>
        <v>-10.0</v>
      </c>
      <c r="I173" s="2">
        <f>IF(H173="","",ABS(H173))</f>
        <v>10.0</v>
      </c>
      <c r="J173" s="3">
        <v>-10.0</v>
      </c>
      <c r="K173" s="0" t="inlineStr">
        <is>
          <t>OK</t>
        </is>
      </c>
    </row>
    <row r="174">
      <c r="A174" s="0" t="inlineStr">
        <is>
          <t>PF-2photos-1.pdf</t>
        </is>
      </c>
      <c r="B174" s="0" t="inlineStr">
        <is>
          <t>PF</t>
        </is>
      </c>
      <c r="C174" s="4">
        <v>1</v>
      </c>
      <c r="D174" s="4">
        <v>2</v>
      </c>
      <c r="E174" s="0" t="inlineStr">
        <is>
          <t>Obwód biustu</t>
        </is>
      </c>
      <c r="F174" s="9">
        <v>93.0</v>
      </c>
      <c r="G174" s="9">
        <v>103.0</v>
      </c>
      <c r="H174" s="3">
        <f>IF(G174="","",F174-G174)</f>
        <v>-10.0</v>
      </c>
      <c r="I174" s="2">
        <f>IF(H174="","",ABS(H174))</f>
        <v>10.0</v>
      </c>
      <c r="J174" s="3">
        <v>-10.0</v>
      </c>
      <c r="K174" s="0" t="inlineStr">
        <is>
          <t>OK</t>
        </is>
      </c>
    </row>
    <row r="175">
      <c r="A175" s="0" t="inlineStr">
        <is>
          <t>PF-2photos-1.pdf</t>
        </is>
      </c>
      <c r="B175" s="0" t="inlineStr">
        <is>
          <t>PF</t>
        </is>
      </c>
      <c r="C175" s="4">
        <v>1</v>
      </c>
      <c r="D175" s="4">
        <v>2</v>
      </c>
      <c r="E175" s="0" t="inlineStr">
        <is>
          <t>Obwód pod biustem</t>
        </is>
      </c>
      <c r="F175" s="9">
        <v>88.0</v>
      </c>
      <c r="G175" s="9">
        <v>93.0</v>
      </c>
      <c r="H175" s="3">
        <f>IF(G175="","",F175-G175)</f>
        <v>-5.0</v>
      </c>
      <c r="I175" s="2">
        <f>IF(H175="","",ABS(H175))</f>
        <v>5.0</v>
      </c>
      <c r="J175" s="3">
        <v>-5.0</v>
      </c>
      <c r="K175" s="0" t="inlineStr">
        <is>
          <t>OK</t>
        </is>
      </c>
    </row>
    <row r="176">
      <c r="A176" s="0" t="inlineStr">
        <is>
          <t>PF-2photos-1.pdf</t>
        </is>
      </c>
      <c r="B176" s="0" t="inlineStr">
        <is>
          <t>PF</t>
        </is>
      </c>
      <c r="C176" s="4">
        <v>1</v>
      </c>
      <c r="D176" s="4">
        <v>2</v>
      </c>
      <c r="E176" s="0" t="inlineStr">
        <is>
          <t>Długość ramienia</t>
        </is>
      </c>
      <c r="F176" s="9">
        <v>61.0</v>
      </c>
      <c r="H176" s="3" t="str">
        <f>IF(G176="","",F176-G176)</f>
        <v/>
      </c>
      <c r="I176" s="2" t="str">
        <f>IF(H176="","",ABS(H176))</f>
        <v/>
      </c>
      <c r="K176" s="10" t="inlineStr">
        <is>
          <t>Brak rzeczywistego</t>
        </is>
      </c>
    </row>
    <row r="177">
      <c r="A177" s="0" t="inlineStr">
        <is>
          <t>PF-2photos-1.pdf</t>
        </is>
      </c>
      <c r="B177" s="0" t="inlineStr">
        <is>
          <t>PF</t>
        </is>
      </c>
      <c r="C177" s="4">
        <v>1</v>
      </c>
      <c r="D177" s="4">
        <v>2</v>
      </c>
      <c r="E177" s="0" t="inlineStr">
        <is>
          <t>Obwód ramienia</t>
        </is>
      </c>
      <c r="F177" s="9">
        <v>32.0</v>
      </c>
      <c r="G177" s="9">
        <v>32.0</v>
      </c>
      <c r="H177" s="3">
        <f>IF(G177="","",F177-G177)</f>
        <v>0.0</v>
      </c>
      <c r="I177" s="2">
        <f>IF(H177="","",ABS(H177))</f>
        <v>0.0</v>
      </c>
      <c r="J177" s="3">
        <v>0.0</v>
      </c>
      <c r="K177" s="0" t="inlineStr">
        <is>
          <t>OK</t>
        </is>
      </c>
    </row>
    <row r="178">
      <c r="A178" s="0" t="inlineStr">
        <is>
          <t>PF-2photos-1.pdf</t>
        </is>
      </c>
      <c r="B178" s="0" t="inlineStr">
        <is>
          <t>PF</t>
        </is>
      </c>
      <c r="C178" s="4">
        <v>1</v>
      </c>
      <c r="D178" s="4">
        <v>2</v>
      </c>
      <c r="E178" s="0" t="inlineStr">
        <is>
          <t>Obwód nadgarstka</t>
        </is>
      </c>
      <c r="F178" s="9">
        <v>22.0</v>
      </c>
      <c r="G178" s="9">
        <v>17.0</v>
      </c>
      <c r="H178" s="3">
        <f>IF(G178="","",F178-G178)</f>
        <v>5.0</v>
      </c>
      <c r="I178" s="2">
        <f>IF(H178="","",ABS(H178))</f>
        <v>5.0</v>
      </c>
      <c r="J178" s="3">
        <v>5.0</v>
      </c>
      <c r="K178" s="0" t="inlineStr">
        <is>
          <t>OK</t>
        </is>
      </c>
    </row>
    <row r="179">
      <c r="A179" s="0" t="inlineStr">
        <is>
          <t>PF-2photos-1.pdf</t>
        </is>
      </c>
      <c r="B179" s="0" t="inlineStr">
        <is>
          <t>PF</t>
        </is>
      </c>
      <c r="C179" s="4">
        <v>1</v>
      </c>
      <c r="D179" s="4">
        <v>2</v>
      </c>
      <c r="E179" s="0" t="inlineStr">
        <is>
          <t>Długość tułowia</t>
        </is>
      </c>
      <c r="F179" s="9">
        <v>68.0</v>
      </c>
      <c r="H179" s="3" t="str">
        <f>IF(G179="","",F179-G179)</f>
        <v/>
      </c>
      <c r="I179" s="2" t="str">
        <f>IF(H179="","",ABS(H179))</f>
        <v/>
      </c>
      <c r="K179" s="10" t="inlineStr">
        <is>
          <t>Brak rzeczywistego</t>
        </is>
      </c>
    </row>
    <row r="180">
      <c r="A180" s="0" t="inlineStr">
        <is>
          <t>PF-2photos-1.pdf</t>
        </is>
      </c>
      <c r="B180" s="0" t="inlineStr">
        <is>
          <t>PF</t>
        </is>
      </c>
      <c r="C180" s="4">
        <v>1</v>
      </c>
      <c r="D180" s="4">
        <v>2</v>
      </c>
      <c r="E180" s="0" t="inlineStr">
        <is>
          <t>Długość przodu</t>
        </is>
      </c>
      <c r="F180" s="9">
        <v>59.0</v>
      </c>
      <c r="H180" s="3" t="str">
        <f>IF(G180="","",F180-G180)</f>
        <v/>
      </c>
      <c r="I180" s="2" t="str">
        <f>IF(H180="","",ABS(H180))</f>
        <v/>
      </c>
      <c r="K180" s="10" t="inlineStr">
        <is>
          <t>Brak rzeczywistego</t>
        </is>
      </c>
    </row>
    <row r="181">
      <c r="A181" s="0" t="inlineStr">
        <is>
          <t>PF-2photos-1.pdf</t>
        </is>
      </c>
      <c r="B181" s="0" t="inlineStr">
        <is>
          <t>PF</t>
        </is>
      </c>
      <c r="C181" s="4">
        <v>1</v>
      </c>
      <c r="D181" s="4">
        <v>2</v>
      </c>
      <c r="E181" s="0" t="inlineStr">
        <is>
          <t>Długość pleców</t>
        </is>
      </c>
      <c r="F181" s="9">
        <v>57.0</v>
      </c>
      <c r="H181" s="3" t="str">
        <f>IF(G181="","",F181-G181)</f>
        <v/>
      </c>
      <c r="I181" s="2" t="str">
        <f>IF(H181="","",ABS(H181))</f>
        <v/>
      </c>
      <c r="K181" s="10" t="inlineStr">
        <is>
          <t>Brak rzeczywistego</t>
        </is>
      </c>
    </row>
    <row r="182">
      <c r="A182" s="0" t="inlineStr">
        <is>
          <t>PF-2photos-1.pdf</t>
        </is>
      </c>
      <c r="B182" s="0" t="inlineStr">
        <is>
          <t>PF</t>
        </is>
      </c>
      <c r="C182" s="4">
        <v>1</v>
      </c>
      <c r="D182" s="4">
        <v>2</v>
      </c>
      <c r="E182" s="0" t="inlineStr">
        <is>
          <t>Długość pleców do bioder</t>
        </is>
      </c>
      <c r="F182" s="9">
        <v>68.0</v>
      </c>
      <c r="H182" s="3" t="str">
        <f>IF(G182="","",F182-G182)</f>
        <v/>
      </c>
      <c r="I182" s="2" t="str">
        <f>IF(H182="","",ABS(H182))</f>
        <v/>
      </c>
      <c r="K182" s="10" t="inlineStr">
        <is>
          <t>Brak rzeczywistego</t>
        </is>
      </c>
    </row>
    <row r="183">
      <c r="A183" s="0" t="inlineStr">
        <is>
          <t>PF-2photos-1.pdf</t>
        </is>
      </c>
      <c r="B183" s="0" t="inlineStr">
        <is>
          <t>PF</t>
        </is>
      </c>
      <c r="C183" s="4">
        <v>1</v>
      </c>
      <c r="D183" s="4">
        <v>2</v>
      </c>
      <c r="E183" s="0" t="inlineStr">
        <is>
          <t>Obwód talii</t>
        </is>
      </c>
      <c r="F183" s="9">
        <v>104.0</v>
      </c>
      <c r="G183" s="9">
        <v>93.0</v>
      </c>
      <c r="H183" s="3">
        <f>IF(G183="","",F183-G183)</f>
        <v>11.0</v>
      </c>
      <c r="I183" s="2">
        <f>IF(H183="","",ABS(H183))</f>
        <v>11.0</v>
      </c>
      <c r="J183" s="3">
        <v>11.0</v>
      </c>
      <c r="K183" s="0" t="inlineStr">
        <is>
          <t>OK</t>
        </is>
      </c>
    </row>
    <row r="184">
      <c r="A184" s="0" t="inlineStr">
        <is>
          <t>PF-2photos-1.pdf</t>
        </is>
      </c>
      <c r="B184" s="0" t="inlineStr">
        <is>
          <t>PF</t>
        </is>
      </c>
      <c r="C184" s="4">
        <v>1</v>
      </c>
      <c r="D184" s="4">
        <v>2</v>
      </c>
      <c r="E184" s="0" t="inlineStr">
        <is>
          <t>Obwód bioder</t>
        </is>
      </c>
      <c r="F184" s="9">
        <v>112.0</v>
      </c>
      <c r="G184" s="9">
        <v>106.0</v>
      </c>
      <c r="H184" s="3">
        <f>IF(G184="","",F184-G184)</f>
        <v>6.0</v>
      </c>
      <c r="I184" s="2">
        <f>IF(H184="","",ABS(H184))</f>
        <v>6.0</v>
      </c>
      <c r="J184" s="3">
        <v>6.0</v>
      </c>
      <c r="K184" s="0" t="inlineStr">
        <is>
          <t>OK</t>
        </is>
      </c>
    </row>
    <row r="185">
      <c r="A185" s="0" t="inlineStr">
        <is>
          <t>PF-2photos-1.pdf</t>
        </is>
      </c>
      <c r="B185" s="0" t="inlineStr">
        <is>
          <t>PF</t>
        </is>
      </c>
      <c r="C185" s="4">
        <v>1</v>
      </c>
      <c r="D185" s="4">
        <v>2</v>
      </c>
      <c r="E185" s="0" t="inlineStr">
        <is>
          <t>Wysokość stanu</t>
        </is>
      </c>
      <c r="F185" s="9">
        <v>87.0</v>
      </c>
      <c r="H185" s="3" t="str">
        <f>IF(G185="","",F185-G185)</f>
        <v/>
      </c>
      <c r="I185" s="2" t="str">
        <f>IF(H185="","",ABS(H185))</f>
        <v/>
      </c>
      <c r="K185" s="10" t="inlineStr">
        <is>
          <t>Brak rzeczywistego</t>
        </is>
      </c>
    </row>
    <row r="186">
      <c r="A186" s="0" t="inlineStr">
        <is>
          <t>PF-2photos-1.pdf</t>
        </is>
      </c>
      <c r="B186" s="0" t="inlineStr">
        <is>
          <t>PF</t>
        </is>
      </c>
      <c r="C186" s="4">
        <v>1</v>
      </c>
      <c r="D186" s="4">
        <v>2</v>
      </c>
      <c r="E186" s="0" t="inlineStr">
        <is>
          <t>Obwód uda</t>
        </is>
      </c>
      <c r="F186" s="9">
        <v>72.0</v>
      </c>
      <c r="G186" s="9">
        <v>61.0</v>
      </c>
      <c r="H186" s="3">
        <f>IF(G186="","",F186-G186)</f>
        <v>11.0</v>
      </c>
      <c r="I186" s="2">
        <f>IF(H186="","",ABS(H186))</f>
        <v>11.0</v>
      </c>
      <c r="J186" s="3">
        <v>11.0</v>
      </c>
      <c r="K186" s="0" t="inlineStr">
        <is>
          <t>OK</t>
        </is>
      </c>
    </row>
    <row r="187">
      <c r="A187" s="0" t="inlineStr">
        <is>
          <t>PF-2photos-1.pdf</t>
        </is>
      </c>
      <c r="B187" s="0" t="inlineStr">
        <is>
          <t>PF</t>
        </is>
      </c>
      <c r="C187" s="4">
        <v>1</v>
      </c>
      <c r="D187" s="4">
        <v>2</v>
      </c>
      <c r="E187" s="0" t="inlineStr">
        <is>
          <t>Długość nogawki po wewnętrznej</t>
        </is>
      </c>
      <c r="F187" s="9">
        <v>88.0</v>
      </c>
      <c r="H187" s="3" t="str">
        <f>IF(G187="","",F187-G187)</f>
        <v/>
      </c>
      <c r="I187" s="2" t="str">
        <f>IF(H187="","",ABS(H187))</f>
        <v/>
      </c>
      <c r="K187" s="10" t="inlineStr">
        <is>
          <t>Brak rzeczywistego</t>
        </is>
      </c>
    </row>
    <row r="188">
      <c r="A188" s="0" t="inlineStr">
        <is>
          <t>PF-2photos-1.pdf</t>
        </is>
      </c>
      <c r="B188" s="0" t="inlineStr">
        <is>
          <t>PF</t>
        </is>
      </c>
      <c r="C188" s="4">
        <v>1</v>
      </c>
      <c r="D188" s="4">
        <v>2</v>
      </c>
      <c r="E188" s="0" t="inlineStr">
        <is>
          <t>Obwód kolana</t>
        </is>
      </c>
      <c r="F188" s="9">
        <v>66.0</v>
      </c>
      <c r="G188" s="9">
        <v>41.0</v>
      </c>
      <c r="H188" s="3">
        <f>IF(G188="","",F188-G188)</f>
        <v>25.0</v>
      </c>
      <c r="I188" s="2">
        <f>IF(H188="","",ABS(H188))</f>
        <v>25.0</v>
      </c>
      <c r="J188" s="3">
        <v>25.0</v>
      </c>
      <c r="K188" s="0" t="inlineStr">
        <is>
          <t>OK</t>
        </is>
      </c>
    </row>
    <row r="189">
      <c r="A189" s="0" t="inlineStr">
        <is>
          <t>PF-2photos-1.pdf</t>
        </is>
      </c>
      <c r="B189" s="0" t="inlineStr">
        <is>
          <t>PF</t>
        </is>
      </c>
      <c r="C189" s="4">
        <v>1</v>
      </c>
      <c r="D189" s="4">
        <v>2</v>
      </c>
      <c r="E189" s="0" t="inlineStr">
        <is>
          <t>Obwód łydki</t>
        </is>
      </c>
      <c r="F189" s="9">
        <v>37.0</v>
      </c>
      <c r="G189" s="9">
        <v>39.0</v>
      </c>
      <c r="H189" s="3">
        <f>IF(G189="","",F189-G189)</f>
        <v>-2.0</v>
      </c>
      <c r="I189" s="2">
        <f>IF(H189="","",ABS(H189))</f>
        <v>2.0</v>
      </c>
      <c r="J189" s="3">
        <v>-2.0</v>
      </c>
      <c r="K189" s="0" t="inlineStr">
        <is>
          <t>OK</t>
        </is>
      </c>
    </row>
    <row r="190">
      <c r="A190" s="0" t="inlineStr">
        <is>
          <t>PF-2photos-1.pdf</t>
        </is>
      </c>
      <c r="B190" s="0" t="inlineStr">
        <is>
          <t>PF</t>
        </is>
      </c>
      <c r="C190" s="4">
        <v>1</v>
      </c>
      <c r="D190" s="4">
        <v>2</v>
      </c>
      <c r="E190" s="0" t="inlineStr">
        <is>
          <t>Obwód kostki</t>
        </is>
      </c>
      <c r="F190" s="9">
        <v>32.0</v>
      </c>
      <c r="G190" s="9">
        <v>25.0</v>
      </c>
      <c r="H190" s="3">
        <f>IF(G190="","",F190-G190)</f>
        <v>7.0</v>
      </c>
      <c r="I190" s="2">
        <f>IF(H190="","",ABS(H190))</f>
        <v>7.0</v>
      </c>
      <c r="J190" s="3">
        <v>7.0</v>
      </c>
      <c r="K190" s="0" t="inlineStr">
        <is>
          <t>OK</t>
        </is>
      </c>
    </row>
    <row r="191">
      <c r="A191" s="0" t="inlineStr">
        <is>
          <t>PF-2photos-2.pdf</t>
        </is>
      </c>
      <c r="B191" s="0" t="inlineStr">
        <is>
          <t>PF</t>
        </is>
      </c>
      <c r="C191" s="4">
        <v>2</v>
      </c>
      <c r="D191" s="4">
        <v>2</v>
      </c>
      <c r="E191" s="0" t="inlineStr">
        <is>
          <t>Wzrost</t>
        </is>
      </c>
      <c r="F191" s="9">
        <v>191.0</v>
      </c>
      <c r="G191" s="9">
        <v>191.0</v>
      </c>
      <c r="H191" s="3">
        <f>IF(G191="","",F191-G191)</f>
        <v>0.0</v>
      </c>
      <c r="I191" s="2">
        <f>IF(H191="","",ABS(H191))</f>
        <v>0.0</v>
      </c>
      <c r="J191" s="3">
        <v>0.0</v>
      </c>
      <c r="K191" s="0" t="inlineStr">
        <is>
          <t>OK</t>
        </is>
      </c>
    </row>
    <row r="192">
      <c r="A192" s="0" t="inlineStr">
        <is>
          <t>PF-2photos-2.pdf</t>
        </is>
      </c>
      <c r="B192" s="0" t="inlineStr">
        <is>
          <t>PF</t>
        </is>
      </c>
      <c r="C192" s="4">
        <v>2</v>
      </c>
      <c r="D192" s="4">
        <v>2</v>
      </c>
      <c r="E192" s="0" t="inlineStr">
        <is>
          <t>Obwód szyi</t>
        </is>
      </c>
      <c r="F192" s="9">
        <v>44.0</v>
      </c>
      <c r="G192" s="9">
        <v>41.0</v>
      </c>
      <c r="H192" s="3">
        <f>IF(G192="","",F192-G192)</f>
        <v>3.0</v>
      </c>
      <c r="I192" s="2">
        <f>IF(H192="","",ABS(H192))</f>
        <v>3.0</v>
      </c>
      <c r="J192" s="3">
        <v>3.0</v>
      </c>
      <c r="K192" s="0" t="inlineStr">
        <is>
          <t>OK</t>
        </is>
      </c>
    </row>
    <row r="193">
      <c r="A193" s="0" t="inlineStr">
        <is>
          <t>PF-2photos-2.pdf</t>
        </is>
      </c>
      <c r="B193" s="0" t="inlineStr">
        <is>
          <t>PF</t>
        </is>
      </c>
      <c r="C193" s="4">
        <v>2</v>
      </c>
      <c r="D193" s="4">
        <v>2</v>
      </c>
      <c r="E193" s="0" t="inlineStr">
        <is>
          <t>Szerokość ramion</t>
        </is>
      </c>
      <c r="F193" s="9">
        <v>48.0</v>
      </c>
      <c r="H193" s="3" t="str">
        <f>IF(G193="","",F193-G193)</f>
        <v/>
      </c>
      <c r="I193" s="2" t="str">
        <f>IF(H193="","",ABS(H193))</f>
        <v/>
      </c>
      <c r="K193" s="10" t="inlineStr">
        <is>
          <t>Brak rzeczywistego</t>
        </is>
      </c>
    </row>
    <row r="194">
      <c r="A194" s="0" t="inlineStr">
        <is>
          <t>PF-2photos-2.pdf</t>
        </is>
      </c>
      <c r="B194" s="0" t="inlineStr">
        <is>
          <t>PF</t>
        </is>
      </c>
      <c r="C194" s="4">
        <v>2</v>
      </c>
      <c r="D194" s="4">
        <v>2</v>
      </c>
      <c r="E194" s="0" t="inlineStr">
        <is>
          <t>Obwód klatki piersiowej</t>
        </is>
      </c>
      <c r="F194" s="9">
        <v>99.0</v>
      </c>
      <c r="G194" s="9">
        <v>103.0</v>
      </c>
      <c r="H194" s="3">
        <f>IF(G194="","",F194-G194)</f>
        <v>-4.0</v>
      </c>
      <c r="I194" s="2">
        <f>IF(H194="","",ABS(H194))</f>
        <v>4.0</v>
      </c>
      <c r="J194" s="3">
        <v>-4.0</v>
      </c>
      <c r="K194" s="0" t="inlineStr">
        <is>
          <t>OK</t>
        </is>
      </c>
    </row>
    <row r="195">
      <c r="A195" s="0" t="inlineStr">
        <is>
          <t>PF-2photos-2.pdf</t>
        </is>
      </c>
      <c r="B195" s="0" t="inlineStr">
        <is>
          <t>PF</t>
        </is>
      </c>
      <c r="C195" s="4">
        <v>2</v>
      </c>
      <c r="D195" s="4">
        <v>2</v>
      </c>
      <c r="E195" s="0" t="inlineStr">
        <is>
          <t>Obwód biustu</t>
        </is>
      </c>
      <c r="F195" s="9">
        <v>99.0</v>
      </c>
      <c r="G195" s="9">
        <v>103.0</v>
      </c>
      <c r="H195" s="3">
        <f>IF(G195="","",F195-G195)</f>
        <v>-4.0</v>
      </c>
      <c r="I195" s="2">
        <f>IF(H195="","",ABS(H195))</f>
        <v>4.0</v>
      </c>
      <c r="J195" s="3">
        <v>-4.0</v>
      </c>
      <c r="K195" s="0" t="inlineStr">
        <is>
          <t>OK</t>
        </is>
      </c>
    </row>
    <row r="196">
      <c r="A196" s="0" t="inlineStr">
        <is>
          <t>PF-2photos-2.pdf</t>
        </is>
      </c>
      <c r="B196" s="0" t="inlineStr">
        <is>
          <t>PF</t>
        </is>
      </c>
      <c r="C196" s="4">
        <v>2</v>
      </c>
      <c r="D196" s="4">
        <v>2</v>
      </c>
      <c r="E196" s="0" t="inlineStr">
        <is>
          <t>Obwód pod biustem</t>
        </is>
      </c>
      <c r="F196" s="9">
        <v>94.0</v>
      </c>
      <c r="G196" s="9">
        <v>93.0</v>
      </c>
      <c r="H196" s="3">
        <f>IF(G196="","",F196-G196)</f>
        <v>1.0</v>
      </c>
      <c r="I196" s="2">
        <f>IF(H196="","",ABS(H196))</f>
        <v>1.0</v>
      </c>
      <c r="J196" s="3">
        <v>1.0</v>
      </c>
      <c r="K196" s="0" t="inlineStr">
        <is>
          <t>OK</t>
        </is>
      </c>
    </row>
    <row r="197">
      <c r="A197" s="0" t="inlineStr">
        <is>
          <t>PF-2photos-2.pdf</t>
        </is>
      </c>
      <c r="B197" s="0" t="inlineStr">
        <is>
          <t>PF</t>
        </is>
      </c>
      <c r="C197" s="4">
        <v>2</v>
      </c>
      <c r="D197" s="4">
        <v>2</v>
      </c>
      <c r="E197" s="0" t="inlineStr">
        <is>
          <t>Długość ramienia</t>
        </is>
      </c>
      <c r="F197" s="9">
        <v>64.0</v>
      </c>
      <c r="H197" s="3" t="str">
        <f>IF(G197="","",F197-G197)</f>
        <v/>
      </c>
      <c r="I197" s="2" t="str">
        <f>IF(H197="","",ABS(H197))</f>
        <v/>
      </c>
      <c r="K197" s="10" t="inlineStr">
        <is>
          <t>Brak rzeczywistego</t>
        </is>
      </c>
    </row>
    <row r="198">
      <c r="A198" s="0" t="inlineStr">
        <is>
          <t>PF-2photos-2.pdf</t>
        </is>
      </c>
      <c r="B198" s="0" t="inlineStr">
        <is>
          <t>PF</t>
        </is>
      </c>
      <c r="C198" s="4">
        <v>2</v>
      </c>
      <c r="D198" s="4">
        <v>2</v>
      </c>
      <c r="E198" s="0" t="inlineStr">
        <is>
          <t>Obwód ramienia</t>
        </is>
      </c>
      <c r="F198" s="9">
        <v>31.0</v>
      </c>
      <c r="G198" s="9">
        <v>32.0</v>
      </c>
      <c r="H198" s="3">
        <f>IF(G198="","",F198-G198)</f>
        <v>-1.0</v>
      </c>
      <c r="I198" s="2">
        <f>IF(H198="","",ABS(H198))</f>
        <v>1.0</v>
      </c>
      <c r="J198" s="3">
        <v>-1.0</v>
      </c>
      <c r="K198" s="0" t="inlineStr">
        <is>
          <t>OK</t>
        </is>
      </c>
    </row>
    <row r="199">
      <c r="A199" s="0" t="inlineStr">
        <is>
          <t>PF-2photos-2.pdf</t>
        </is>
      </c>
      <c r="B199" s="0" t="inlineStr">
        <is>
          <t>PF</t>
        </is>
      </c>
      <c r="C199" s="4">
        <v>2</v>
      </c>
      <c r="D199" s="4">
        <v>2</v>
      </c>
      <c r="E199" s="0" t="inlineStr">
        <is>
          <t>Obwód nadgarstka</t>
        </is>
      </c>
      <c r="F199" s="9">
        <v>23.0</v>
      </c>
      <c r="G199" s="9">
        <v>17.0</v>
      </c>
      <c r="H199" s="3">
        <f>IF(G199="","",F199-G199)</f>
        <v>6.0</v>
      </c>
      <c r="I199" s="2">
        <f>IF(H199="","",ABS(H199))</f>
        <v>6.0</v>
      </c>
      <c r="J199" s="3">
        <v>6.0</v>
      </c>
      <c r="K199" s="0" t="inlineStr">
        <is>
          <t>OK</t>
        </is>
      </c>
    </row>
    <row r="200">
      <c r="A200" s="0" t="inlineStr">
        <is>
          <t>PF-2photos-2.pdf</t>
        </is>
      </c>
      <c r="B200" s="0" t="inlineStr">
        <is>
          <t>PF</t>
        </is>
      </c>
      <c r="C200" s="4">
        <v>2</v>
      </c>
      <c r="D200" s="4">
        <v>2</v>
      </c>
      <c r="E200" s="0" t="inlineStr">
        <is>
          <t>Długość tułowia</t>
        </is>
      </c>
      <c r="F200" s="9">
        <v>71.0</v>
      </c>
      <c r="H200" s="3" t="str">
        <f>IF(G200="","",F200-G200)</f>
        <v/>
      </c>
      <c r="I200" s="2" t="str">
        <f>IF(H200="","",ABS(H200))</f>
        <v/>
      </c>
      <c r="K200" s="10" t="inlineStr">
        <is>
          <t>Brak rzeczywistego</t>
        </is>
      </c>
    </row>
    <row r="201">
      <c r="A201" s="0" t="inlineStr">
        <is>
          <t>PF-2photos-2.pdf</t>
        </is>
      </c>
      <c r="B201" s="0" t="inlineStr">
        <is>
          <t>PF</t>
        </is>
      </c>
      <c r="C201" s="4">
        <v>2</v>
      </c>
      <c r="D201" s="4">
        <v>2</v>
      </c>
      <c r="E201" s="0" t="inlineStr">
        <is>
          <t>Długość przodu</t>
        </is>
      </c>
      <c r="F201" s="9">
        <v>62.0</v>
      </c>
      <c r="H201" s="3" t="str">
        <f>IF(G201="","",F201-G201)</f>
        <v/>
      </c>
      <c r="I201" s="2" t="str">
        <f>IF(H201="","",ABS(H201))</f>
        <v/>
      </c>
      <c r="K201" s="10" t="inlineStr">
        <is>
          <t>Brak rzeczywistego</t>
        </is>
      </c>
    </row>
    <row r="202">
      <c r="A202" s="0" t="inlineStr">
        <is>
          <t>PF-2photos-2.pdf</t>
        </is>
      </c>
      <c r="B202" s="0" t="inlineStr">
        <is>
          <t>PF</t>
        </is>
      </c>
      <c r="C202" s="4">
        <v>2</v>
      </c>
      <c r="D202" s="4">
        <v>2</v>
      </c>
      <c r="E202" s="0" t="inlineStr">
        <is>
          <t>Długość pleców</t>
        </is>
      </c>
      <c r="F202" s="9">
        <v>59.0</v>
      </c>
      <c r="H202" s="3" t="str">
        <f>IF(G202="","",F202-G202)</f>
        <v/>
      </c>
      <c r="I202" s="2" t="str">
        <f>IF(H202="","",ABS(H202))</f>
        <v/>
      </c>
      <c r="K202" s="10" t="inlineStr">
        <is>
          <t>Brak rzeczywistego</t>
        </is>
      </c>
    </row>
    <row r="203">
      <c r="A203" s="0" t="inlineStr">
        <is>
          <t>PF-2photos-2.pdf</t>
        </is>
      </c>
      <c r="B203" s="0" t="inlineStr">
        <is>
          <t>PF</t>
        </is>
      </c>
      <c r="C203" s="4">
        <v>2</v>
      </c>
      <c r="D203" s="4">
        <v>2</v>
      </c>
      <c r="E203" s="0" t="inlineStr">
        <is>
          <t>Długość pleców do bioder</t>
        </is>
      </c>
      <c r="F203" s="9">
        <v>71.0</v>
      </c>
      <c r="H203" s="3" t="str">
        <f>IF(G203="","",F203-G203)</f>
        <v/>
      </c>
      <c r="I203" s="2" t="str">
        <f>IF(H203="","",ABS(H203))</f>
        <v/>
      </c>
      <c r="K203" s="10" t="inlineStr">
        <is>
          <t>Brak rzeczywistego</t>
        </is>
      </c>
    </row>
    <row r="204">
      <c r="A204" s="0" t="inlineStr">
        <is>
          <t>PF-2photos-2.pdf</t>
        </is>
      </c>
      <c r="B204" s="0" t="inlineStr">
        <is>
          <t>PF</t>
        </is>
      </c>
      <c r="C204" s="4">
        <v>2</v>
      </c>
      <c r="D204" s="4">
        <v>2</v>
      </c>
      <c r="E204" s="0" t="inlineStr">
        <is>
          <t>Obwód talii</t>
        </is>
      </c>
      <c r="F204" s="9">
        <v>111.0</v>
      </c>
      <c r="G204" s="9">
        <v>93.0</v>
      </c>
      <c r="H204" s="3">
        <f>IF(G204="","",F204-G204)</f>
        <v>18.0</v>
      </c>
      <c r="I204" s="2">
        <f>IF(H204="","",ABS(H204))</f>
        <v>18.0</v>
      </c>
      <c r="J204" s="3">
        <v>18.0</v>
      </c>
      <c r="K204" s="0" t="inlineStr">
        <is>
          <t>OK</t>
        </is>
      </c>
    </row>
    <row r="205">
      <c r="A205" s="0" t="inlineStr">
        <is>
          <t>PF-2photos-2.pdf</t>
        </is>
      </c>
      <c r="B205" s="0" t="inlineStr">
        <is>
          <t>PF</t>
        </is>
      </c>
      <c r="C205" s="4">
        <v>2</v>
      </c>
      <c r="D205" s="4">
        <v>2</v>
      </c>
      <c r="E205" s="0" t="inlineStr">
        <is>
          <t>Obwód bioder</t>
        </is>
      </c>
      <c r="F205" s="9">
        <v>120.0</v>
      </c>
      <c r="G205" s="9">
        <v>106.0</v>
      </c>
      <c r="H205" s="3">
        <f>IF(G205="","",F205-G205)</f>
        <v>14.0</v>
      </c>
      <c r="I205" s="2">
        <f>IF(H205="","",ABS(H205))</f>
        <v>14.0</v>
      </c>
      <c r="J205" s="3">
        <v>14.0</v>
      </c>
      <c r="K205" s="0" t="inlineStr">
        <is>
          <t>OK</t>
        </is>
      </c>
    </row>
    <row r="206">
      <c r="A206" s="0" t="inlineStr">
        <is>
          <t>PF-2photos-2.pdf</t>
        </is>
      </c>
      <c r="B206" s="0" t="inlineStr">
        <is>
          <t>PF</t>
        </is>
      </c>
      <c r="C206" s="4">
        <v>2</v>
      </c>
      <c r="D206" s="4">
        <v>2</v>
      </c>
      <c r="E206" s="0" t="inlineStr">
        <is>
          <t>Wysokość stanu</t>
        </is>
      </c>
      <c r="F206" s="9">
        <v>93.0</v>
      </c>
      <c r="H206" s="3" t="str">
        <f>IF(G206="","",F206-G206)</f>
        <v/>
      </c>
      <c r="I206" s="2" t="str">
        <f>IF(H206="","",ABS(H206))</f>
        <v/>
      </c>
      <c r="K206" s="10" t="inlineStr">
        <is>
          <t>Brak rzeczywistego</t>
        </is>
      </c>
    </row>
    <row r="207">
      <c r="A207" s="0" t="inlineStr">
        <is>
          <t>PF-2photos-2.pdf</t>
        </is>
      </c>
      <c r="B207" s="0" t="inlineStr">
        <is>
          <t>PF</t>
        </is>
      </c>
      <c r="C207" s="4">
        <v>2</v>
      </c>
      <c r="D207" s="4">
        <v>2</v>
      </c>
      <c r="E207" s="0" t="inlineStr">
        <is>
          <t>Obwód uda</t>
        </is>
      </c>
      <c r="F207" s="9">
        <v>75.0</v>
      </c>
      <c r="G207" s="9">
        <v>61.0</v>
      </c>
      <c r="H207" s="3">
        <f>IF(G207="","",F207-G207)</f>
        <v>14.0</v>
      </c>
      <c r="I207" s="2">
        <f>IF(H207="","",ABS(H207))</f>
        <v>14.0</v>
      </c>
      <c r="J207" s="3">
        <v>14.0</v>
      </c>
      <c r="K207" s="0" t="inlineStr">
        <is>
          <t>OK</t>
        </is>
      </c>
    </row>
    <row r="208">
      <c r="A208" s="0" t="inlineStr">
        <is>
          <t>PF-2photos-2.pdf</t>
        </is>
      </c>
      <c r="B208" s="0" t="inlineStr">
        <is>
          <t>PF</t>
        </is>
      </c>
      <c r="C208" s="4">
        <v>2</v>
      </c>
      <c r="D208" s="4">
        <v>2</v>
      </c>
      <c r="E208" s="0" t="inlineStr">
        <is>
          <t>Długość nogawki po wewnętrznej</t>
        </is>
      </c>
      <c r="F208" s="9">
        <v>83.0</v>
      </c>
      <c r="H208" s="3" t="str">
        <f>IF(G208="","",F208-G208)</f>
        <v/>
      </c>
      <c r="I208" s="2" t="str">
        <f>IF(H208="","",ABS(H208))</f>
        <v/>
      </c>
      <c r="K208" s="10" t="inlineStr">
        <is>
          <t>Brak rzeczywistego</t>
        </is>
      </c>
    </row>
    <row r="209">
      <c r="A209" s="0" t="inlineStr">
        <is>
          <t>PF-2photos-2.pdf</t>
        </is>
      </c>
      <c r="B209" s="0" t="inlineStr">
        <is>
          <t>PF</t>
        </is>
      </c>
      <c r="C209" s="4">
        <v>2</v>
      </c>
      <c r="D209" s="4">
        <v>2</v>
      </c>
      <c r="E209" s="0" t="inlineStr">
        <is>
          <t>Obwód kolana</t>
        </is>
      </c>
      <c r="F209" s="9">
        <v>69.0</v>
      </c>
      <c r="G209" s="9">
        <v>41.0</v>
      </c>
      <c r="H209" s="3">
        <f>IF(G209="","",F209-G209)</f>
        <v>28.0</v>
      </c>
      <c r="I209" s="2">
        <f>IF(H209="","",ABS(H209))</f>
        <v>28.0</v>
      </c>
      <c r="J209" s="3">
        <v>28.0</v>
      </c>
      <c r="K209" s="0" t="inlineStr">
        <is>
          <t>OK</t>
        </is>
      </c>
    </row>
    <row r="210">
      <c r="A210" s="0" t="inlineStr">
        <is>
          <t>PF-2photos-2.pdf</t>
        </is>
      </c>
      <c r="B210" s="0" t="inlineStr">
        <is>
          <t>PF</t>
        </is>
      </c>
      <c r="C210" s="4">
        <v>2</v>
      </c>
      <c r="D210" s="4">
        <v>2</v>
      </c>
      <c r="E210" s="0" t="inlineStr">
        <is>
          <t>Obwód łydki</t>
        </is>
      </c>
      <c r="F210" s="9">
        <v>38.0</v>
      </c>
      <c r="G210" s="9">
        <v>39.0</v>
      </c>
      <c r="H210" s="3">
        <f>IF(G210="","",F210-G210)</f>
        <v>-1.0</v>
      </c>
      <c r="I210" s="2">
        <f>IF(H210="","",ABS(H210))</f>
        <v>1.0</v>
      </c>
      <c r="J210" s="3">
        <v>-1.0</v>
      </c>
      <c r="K210" s="0" t="inlineStr">
        <is>
          <t>OK</t>
        </is>
      </c>
    </row>
    <row r="211">
      <c r="A211" s="0" t="inlineStr">
        <is>
          <t>PF-2photos-2.pdf</t>
        </is>
      </c>
      <c r="B211" s="0" t="inlineStr">
        <is>
          <t>PF</t>
        </is>
      </c>
      <c r="C211" s="4">
        <v>2</v>
      </c>
      <c r="D211" s="4">
        <v>2</v>
      </c>
      <c r="E211" s="0" t="inlineStr">
        <is>
          <t>Obwód kostki</t>
        </is>
      </c>
      <c r="F211" s="9">
        <v>34.0</v>
      </c>
      <c r="G211" s="9">
        <v>25.0</v>
      </c>
      <c r="H211" s="3">
        <f>IF(G211="","",F211-G211)</f>
        <v>9.0</v>
      </c>
      <c r="I211" s="2">
        <f>IF(H211="","",ABS(H211))</f>
        <v>9.0</v>
      </c>
      <c r="J211" s="3">
        <v>9.0</v>
      </c>
      <c r="K211" s="0" t="inlineStr">
        <is>
          <t>OK</t>
        </is>
      </c>
    </row>
    <row r="212">
      <c r="A212" s="0" t="inlineStr">
        <is>
          <t>RF-1photo-1.pdf</t>
        </is>
      </c>
      <c r="B212" s="0" t="inlineStr">
        <is>
          <t>RF</t>
        </is>
      </c>
      <c r="C212" s="4">
        <v>1</v>
      </c>
      <c r="D212" s="4">
        <v>1</v>
      </c>
      <c r="E212" s="0" t="inlineStr">
        <is>
          <t>Wzrost</t>
        </is>
      </c>
      <c r="F212" s="9">
        <v>191.0</v>
      </c>
      <c r="G212" s="9">
        <v>191.0</v>
      </c>
      <c r="H212" s="3">
        <f>IF(G212="","",F212-G212)</f>
        <v>0.0</v>
      </c>
      <c r="I212" s="2">
        <f>IF(H212="","",ABS(H212))</f>
        <v>0.0</v>
      </c>
      <c r="J212" s="3">
        <v>0.0</v>
      </c>
      <c r="K212" s="0" t="inlineStr">
        <is>
          <t>OK</t>
        </is>
      </c>
    </row>
    <row r="213">
      <c r="A213" s="0" t="inlineStr">
        <is>
          <t>RF-1photo-1.pdf</t>
        </is>
      </c>
      <c r="B213" s="0" t="inlineStr">
        <is>
          <t>RF</t>
        </is>
      </c>
      <c r="C213" s="4">
        <v>1</v>
      </c>
      <c r="D213" s="4">
        <v>1</v>
      </c>
      <c r="E213" s="0" t="inlineStr">
        <is>
          <t>Obwód szyi</t>
        </is>
      </c>
      <c r="F213" s="9">
        <v>49.0</v>
      </c>
      <c r="G213" s="9">
        <v>42.0</v>
      </c>
      <c r="H213" s="3">
        <f>IF(G213="","",F213-G213)</f>
        <v>7.0</v>
      </c>
      <c r="I213" s="2">
        <f>IF(H213="","",ABS(H213))</f>
        <v>7.0</v>
      </c>
      <c r="J213" s="3">
        <v>7.0</v>
      </c>
      <c r="K213" s="0" t="inlineStr">
        <is>
          <t>OK</t>
        </is>
      </c>
    </row>
    <row r="214">
      <c r="A214" s="0" t="inlineStr">
        <is>
          <t>RF-1photo-1.pdf</t>
        </is>
      </c>
      <c r="B214" s="0" t="inlineStr">
        <is>
          <t>RF</t>
        </is>
      </c>
      <c r="C214" s="4">
        <v>1</v>
      </c>
      <c r="D214" s="4">
        <v>1</v>
      </c>
      <c r="E214" s="0" t="inlineStr">
        <is>
          <t>Szerokość ramion</t>
        </is>
      </c>
      <c r="F214" s="9">
        <v>53.0</v>
      </c>
      <c r="G214" s="9">
        <v>53.0</v>
      </c>
      <c r="H214" s="3">
        <f>IF(G214="","",F214-G214)</f>
        <v>0.0</v>
      </c>
      <c r="I214" s="2">
        <f>IF(H214="","",ABS(H214))</f>
        <v>0.0</v>
      </c>
      <c r="J214" s="3">
        <v>0.0</v>
      </c>
      <c r="K214" s="0" t="inlineStr">
        <is>
          <t>OK</t>
        </is>
      </c>
    </row>
    <row r="215">
      <c r="A215" s="0" t="inlineStr">
        <is>
          <t>RF-1photo-1.pdf</t>
        </is>
      </c>
      <c r="B215" s="0" t="inlineStr">
        <is>
          <t>RF</t>
        </is>
      </c>
      <c r="C215" s="4">
        <v>1</v>
      </c>
      <c r="D215" s="4">
        <v>1</v>
      </c>
      <c r="E215" s="0" t="inlineStr">
        <is>
          <t>Obwód klatki piersiowej</t>
        </is>
      </c>
      <c r="F215" s="9">
        <v>103.0</v>
      </c>
      <c r="G215" s="9">
        <v>103.0</v>
      </c>
      <c r="H215" s="3">
        <f>IF(G215="","",F215-G215)</f>
        <v>0.0</v>
      </c>
      <c r="I215" s="2">
        <f>IF(H215="","",ABS(H215))</f>
        <v>0.0</v>
      </c>
      <c r="J215" s="3">
        <v>0.0</v>
      </c>
      <c r="K215" s="0" t="inlineStr">
        <is>
          <t>OK</t>
        </is>
      </c>
    </row>
    <row r="216">
      <c r="A216" s="0" t="inlineStr">
        <is>
          <t>RF-1photo-1.pdf</t>
        </is>
      </c>
      <c r="B216" s="0" t="inlineStr">
        <is>
          <t>RF</t>
        </is>
      </c>
      <c r="C216" s="4">
        <v>1</v>
      </c>
      <c r="D216" s="4">
        <v>1</v>
      </c>
      <c r="E216" s="0" t="inlineStr">
        <is>
          <t>Obwód biustu</t>
        </is>
      </c>
      <c r="F216" s="9">
        <v>103.0</v>
      </c>
      <c r="G216" s="9">
        <v>102.0</v>
      </c>
      <c r="H216" s="3">
        <f>IF(G216="","",F216-G216)</f>
        <v>1.0</v>
      </c>
      <c r="I216" s="2">
        <f>IF(H216="","",ABS(H216))</f>
        <v>1.0</v>
      </c>
      <c r="J216" s="3">
        <v>1.0</v>
      </c>
      <c r="K216" s="0" t="inlineStr">
        <is>
          <t>OK</t>
        </is>
      </c>
    </row>
    <row r="217">
      <c r="A217" s="0" t="inlineStr">
        <is>
          <t>RF-1photo-1.pdf</t>
        </is>
      </c>
      <c r="B217" s="0" t="inlineStr">
        <is>
          <t>RF</t>
        </is>
      </c>
      <c r="C217" s="4">
        <v>1</v>
      </c>
      <c r="D217" s="4">
        <v>1</v>
      </c>
      <c r="E217" s="0" t="inlineStr">
        <is>
          <t>Obwód pod biustem</t>
        </is>
      </c>
      <c r="F217" s="9">
        <v>98.0</v>
      </c>
      <c r="G217" s="9">
        <v>94.0</v>
      </c>
      <c r="H217" s="3">
        <f>IF(G217="","",F217-G217)</f>
        <v>4.0</v>
      </c>
      <c r="I217" s="2">
        <f>IF(H217="","",ABS(H217))</f>
        <v>4.0</v>
      </c>
      <c r="J217" s="3">
        <v>4.0</v>
      </c>
      <c r="K217" s="0" t="inlineStr">
        <is>
          <t>OK</t>
        </is>
      </c>
    </row>
    <row r="218">
      <c r="A218" s="0" t="inlineStr">
        <is>
          <t>RF-1photo-1.pdf</t>
        </is>
      </c>
      <c r="B218" s="0" t="inlineStr">
        <is>
          <t>RF</t>
        </is>
      </c>
      <c r="C218" s="4">
        <v>1</v>
      </c>
      <c r="D218" s="4">
        <v>1</v>
      </c>
      <c r="E218" s="0" t="inlineStr">
        <is>
          <t>Długość ramienia</t>
        </is>
      </c>
      <c r="F218" s="9">
        <v>69.0</v>
      </c>
      <c r="G218" s="9">
        <v>69.0</v>
      </c>
      <c r="H218" s="3">
        <f>IF(G218="","",F218-G218)</f>
        <v>0.0</v>
      </c>
      <c r="I218" s="2">
        <f>IF(H218="","",ABS(H218))</f>
        <v>0.0</v>
      </c>
      <c r="J218" s="3">
        <v>0.0</v>
      </c>
      <c r="K218" s="0" t="inlineStr">
        <is>
          <t>OK</t>
        </is>
      </c>
    </row>
    <row r="219">
      <c r="A219" s="0" t="inlineStr">
        <is>
          <t>RF-1photo-1.pdf</t>
        </is>
      </c>
      <c r="B219" s="0" t="inlineStr">
        <is>
          <t>RF</t>
        </is>
      </c>
      <c r="C219" s="4">
        <v>1</v>
      </c>
      <c r="D219" s="4">
        <v>1</v>
      </c>
      <c r="E219" s="0" t="inlineStr">
        <is>
          <t>Obwód ramienia</t>
        </is>
      </c>
      <c r="F219" s="9">
        <v>28.0</v>
      </c>
      <c r="G219" s="9">
        <v>36.0</v>
      </c>
      <c r="H219" s="3">
        <f>IF(G219="","",F219-G219)</f>
        <v>-8.0</v>
      </c>
      <c r="I219" s="2">
        <f>IF(H219="","",ABS(H219))</f>
        <v>8.0</v>
      </c>
      <c r="J219" s="3">
        <v>-8.0</v>
      </c>
      <c r="K219" s="0" t="inlineStr">
        <is>
          <t>OK</t>
        </is>
      </c>
    </row>
    <row r="220">
      <c r="A220" s="0" t="inlineStr">
        <is>
          <t>RF-1photo-1.pdf</t>
        </is>
      </c>
      <c r="B220" s="0" t="inlineStr">
        <is>
          <t>RF</t>
        </is>
      </c>
      <c r="C220" s="4">
        <v>1</v>
      </c>
      <c r="D220" s="4">
        <v>1</v>
      </c>
      <c r="E220" s="0" t="inlineStr">
        <is>
          <t>Obwód nadgarstka</t>
        </is>
      </c>
      <c r="F220" s="9">
        <v>19.0</v>
      </c>
      <c r="G220" s="9">
        <v>19.0</v>
      </c>
      <c r="H220" s="3">
        <f>IF(G220="","",F220-G220)</f>
        <v>0.0</v>
      </c>
      <c r="I220" s="2">
        <f>IF(H220="","",ABS(H220))</f>
        <v>0.0</v>
      </c>
      <c r="J220" s="3">
        <v>0.0</v>
      </c>
      <c r="K220" s="0" t="inlineStr">
        <is>
          <t>OK</t>
        </is>
      </c>
    </row>
    <row r="221">
      <c r="A221" s="0" t="inlineStr">
        <is>
          <t>RF-1photo-1.pdf</t>
        </is>
      </c>
      <c r="B221" s="0" t="inlineStr">
        <is>
          <t>RF</t>
        </is>
      </c>
      <c r="C221" s="4">
        <v>1</v>
      </c>
      <c r="D221" s="4">
        <v>1</v>
      </c>
      <c r="E221" s="0" t="inlineStr">
        <is>
          <t>Długość tułowia</t>
        </is>
      </c>
      <c r="F221" s="9">
        <v>69.0</v>
      </c>
      <c r="G221" s="9">
        <v>54.0</v>
      </c>
      <c r="H221" s="3">
        <f>IF(G221="","",F221-G221)</f>
        <v>15.0</v>
      </c>
      <c r="I221" s="2">
        <f>IF(H221="","",ABS(H221))</f>
        <v>15.0</v>
      </c>
      <c r="J221" s="3">
        <v>15.0</v>
      </c>
      <c r="K221" s="0" t="inlineStr">
        <is>
          <t>OK</t>
        </is>
      </c>
    </row>
    <row r="222">
      <c r="A222" s="0" t="inlineStr">
        <is>
          <t>RF-1photo-1.pdf</t>
        </is>
      </c>
      <c r="B222" s="0" t="inlineStr">
        <is>
          <t>RF</t>
        </is>
      </c>
      <c r="C222" s="4">
        <v>1</v>
      </c>
      <c r="D222" s="4">
        <v>1</v>
      </c>
      <c r="E222" s="0" t="inlineStr">
        <is>
          <t>Długość przodu</t>
        </is>
      </c>
      <c r="F222" s="9">
        <v>60.0</v>
      </c>
      <c r="H222" s="3" t="str">
        <f>IF(G222="","",F222-G222)</f>
        <v/>
      </c>
      <c r="I222" s="2" t="str">
        <f>IF(H222="","",ABS(H222))</f>
        <v/>
      </c>
      <c r="K222" s="10" t="inlineStr">
        <is>
          <t>Brak rzeczywistego</t>
        </is>
      </c>
    </row>
    <row r="223">
      <c r="A223" s="0" t="inlineStr">
        <is>
          <t>RF-1photo-1.pdf</t>
        </is>
      </c>
      <c r="B223" s="0" t="inlineStr">
        <is>
          <t>RF</t>
        </is>
      </c>
      <c r="C223" s="4">
        <v>1</v>
      </c>
      <c r="D223" s="4">
        <v>1</v>
      </c>
      <c r="E223" s="0" t="inlineStr">
        <is>
          <t>Długość pleców</t>
        </is>
      </c>
      <c r="F223" s="9">
        <v>58.0</v>
      </c>
      <c r="H223" s="3" t="str">
        <f>IF(G223="","",F223-G223)</f>
        <v/>
      </c>
      <c r="I223" s="2" t="str">
        <f>IF(H223="","",ABS(H223))</f>
        <v/>
      </c>
      <c r="K223" s="10" t="inlineStr">
        <is>
          <t>Brak rzeczywistego</t>
        </is>
      </c>
    </row>
    <row r="224">
      <c r="A224" s="0" t="inlineStr">
        <is>
          <t>RF-1photo-1.pdf</t>
        </is>
      </c>
      <c r="B224" s="0" t="inlineStr">
        <is>
          <t>RF</t>
        </is>
      </c>
      <c r="C224" s="4">
        <v>1</v>
      </c>
      <c r="D224" s="4">
        <v>1</v>
      </c>
      <c r="E224" s="0" t="inlineStr">
        <is>
          <t>Długość pleców do bioder</t>
        </is>
      </c>
      <c r="F224" s="9">
        <v>69.0</v>
      </c>
      <c r="H224" s="3" t="str">
        <f>IF(G224="","",F224-G224)</f>
        <v/>
      </c>
      <c r="I224" s="2" t="str">
        <f>IF(H224="","",ABS(H224))</f>
        <v/>
      </c>
      <c r="K224" s="10" t="inlineStr">
        <is>
          <t>Brak rzeczywistego</t>
        </is>
      </c>
    </row>
    <row r="225">
      <c r="A225" s="0" t="inlineStr">
        <is>
          <t>RF-1photo-1.pdf</t>
        </is>
      </c>
      <c r="B225" s="0" t="inlineStr">
        <is>
          <t>RF</t>
        </is>
      </c>
      <c r="C225" s="4">
        <v>1</v>
      </c>
      <c r="D225" s="4">
        <v>1</v>
      </c>
      <c r="E225" s="0" t="inlineStr">
        <is>
          <t>Obwód talii</t>
        </is>
      </c>
      <c r="F225" s="9">
        <v>115.0</v>
      </c>
      <c r="G225" s="9">
        <v>93.0</v>
      </c>
      <c r="H225" s="3">
        <f>IF(G225="","",F225-G225)</f>
        <v>22.0</v>
      </c>
      <c r="I225" s="2">
        <f>IF(H225="","",ABS(H225))</f>
        <v>22.0</v>
      </c>
      <c r="J225" s="3">
        <v>22.0</v>
      </c>
      <c r="K225" s="0" t="inlineStr">
        <is>
          <t>OK</t>
        </is>
      </c>
    </row>
    <row r="226">
      <c r="A226" s="0" t="inlineStr">
        <is>
          <t>RF-1photo-1.pdf</t>
        </is>
      </c>
      <c r="B226" s="0" t="inlineStr">
        <is>
          <t>RF</t>
        </is>
      </c>
      <c r="C226" s="4">
        <v>1</v>
      </c>
      <c r="D226" s="4">
        <v>1</v>
      </c>
      <c r="E226" s="0" t="inlineStr">
        <is>
          <t>Obwód bioder</t>
        </is>
      </c>
      <c r="F226" s="9">
        <v>143.0</v>
      </c>
      <c r="G226" s="9">
        <v>109.0</v>
      </c>
      <c r="H226" s="3">
        <f>IF(G226="","",F226-G226)</f>
        <v>34.0</v>
      </c>
      <c r="I226" s="2">
        <f>IF(H226="","",ABS(H226))</f>
        <v>34.0</v>
      </c>
      <c r="J226" s="3">
        <v>34.0</v>
      </c>
      <c r="K226" s="0" t="inlineStr">
        <is>
          <t>OK</t>
        </is>
      </c>
    </row>
    <row r="227">
      <c r="A227" s="0" t="inlineStr">
        <is>
          <t>RF-1photo-1.pdf</t>
        </is>
      </c>
      <c r="B227" s="0" t="inlineStr">
        <is>
          <t>RF</t>
        </is>
      </c>
      <c r="C227" s="4">
        <v>1</v>
      </c>
      <c r="D227" s="4">
        <v>1</v>
      </c>
      <c r="E227" s="0" t="inlineStr">
        <is>
          <t>Wysokość stanu</t>
        </is>
      </c>
      <c r="F227" s="9">
        <v>111.0</v>
      </c>
      <c r="H227" s="3" t="str">
        <f>IF(G227="","",F227-G227)</f>
        <v/>
      </c>
      <c r="I227" s="2" t="str">
        <f>IF(H227="","",ABS(H227))</f>
        <v/>
      </c>
      <c r="K227" s="10" t="inlineStr">
        <is>
          <t>Brak rzeczywistego</t>
        </is>
      </c>
    </row>
    <row r="228">
      <c r="A228" s="0" t="inlineStr">
        <is>
          <t>RF-1photo-1.pdf</t>
        </is>
      </c>
      <c r="B228" s="0" t="inlineStr">
        <is>
          <t>RF</t>
        </is>
      </c>
      <c r="C228" s="4">
        <v>1</v>
      </c>
      <c r="D228" s="4">
        <v>1</v>
      </c>
      <c r="E228" s="0" t="inlineStr">
        <is>
          <t>Obwód uda</t>
        </is>
      </c>
      <c r="F228" s="9">
        <v>59.0</v>
      </c>
      <c r="G228" s="9">
        <v>68.0</v>
      </c>
      <c r="H228" s="3">
        <f>IF(G228="","",F228-G228)</f>
        <v>-9.0</v>
      </c>
      <c r="I228" s="2">
        <f>IF(H228="","",ABS(H228))</f>
        <v>9.0</v>
      </c>
      <c r="J228" s="3">
        <v>-9.0</v>
      </c>
      <c r="K228" s="0" t="inlineStr">
        <is>
          <t>OK</t>
        </is>
      </c>
    </row>
    <row r="229">
      <c r="A229" s="0" t="inlineStr">
        <is>
          <t>RF-1photo-1.pdf</t>
        </is>
      </c>
      <c r="B229" s="0" t="inlineStr">
        <is>
          <t>RF</t>
        </is>
      </c>
      <c r="C229" s="4">
        <v>1</v>
      </c>
      <c r="D229" s="4">
        <v>1</v>
      </c>
      <c r="E229" s="0" t="inlineStr">
        <is>
          <t>Długość nogawki po wewnętrznej</t>
        </is>
      </c>
      <c r="F229" s="9">
        <v>84.0</v>
      </c>
      <c r="H229" s="3" t="str">
        <f>IF(G229="","",F229-G229)</f>
        <v/>
      </c>
      <c r="I229" s="2" t="str">
        <f>IF(H229="","",ABS(H229))</f>
        <v/>
      </c>
      <c r="K229" s="10" t="inlineStr">
        <is>
          <t>Brak rzeczywistego</t>
        </is>
      </c>
    </row>
    <row r="230">
      <c r="A230" s="0" t="inlineStr">
        <is>
          <t>RF-1photo-1.pdf</t>
        </is>
      </c>
      <c r="B230" s="0" t="inlineStr">
        <is>
          <t>RF</t>
        </is>
      </c>
      <c r="C230" s="4">
        <v>1</v>
      </c>
      <c r="D230" s="4">
        <v>1</v>
      </c>
      <c r="E230" s="0" t="inlineStr">
        <is>
          <t>Obwód kolana</t>
        </is>
      </c>
      <c r="F230" s="9">
        <v>48.0</v>
      </c>
      <c r="G230" s="9">
        <v>42.0</v>
      </c>
      <c r="H230" s="3">
        <f>IF(G230="","",F230-G230)</f>
        <v>6.0</v>
      </c>
      <c r="I230" s="2">
        <f>IF(H230="","",ABS(H230))</f>
        <v>6.0</v>
      </c>
      <c r="J230" s="3">
        <v>6.0</v>
      </c>
      <c r="K230" s="0" t="inlineStr">
        <is>
          <t>OK</t>
        </is>
      </c>
    </row>
    <row r="231">
      <c r="A231" s="0" t="inlineStr">
        <is>
          <t>RF-1photo-1.pdf</t>
        </is>
      </c>
      <c r="B231" s="0" t="inlineStr">
        <is>
          <t>RF</t>
        </is>
      </c>
      <c r="C231" s="4">
        <v>1</v>
      </c>
      <c r="D231" s="4">
        <v>1</v>
      </c>
      <c r="E231" s="0" t="inlineStr">
        <is>
          <t>Obwód łydki</t>
        </is>
      </c>
      <c r="F231" s="9">
        <v>49.0</v>
      </c>
      <c r="G231" s="9">
        <v>39.0</v>
      </c>
      <c r="H231" s="3">
        <f>IF(G231="","",F231-G231)</f>
        <v>10.0</v>
      </c>
      <c r="I231" s="2">
        <f>IF(H231="","",ABS(H231))</f>
        <v>10.0</v>
      </c>
      <c r="J231" s="3">
        <v>10.0</v>
      </c>
      <c r="K231" s="0" t="inlineStr">
        <is>
          <t>OK</t>
        </is>
      </c>
    </row>
    <row r="232">
      <c r="A232" s="0" t="inlineStr">
        <is>
          <t>RF-1photo-1.pdf</t>
        </is>
      </c>
      <c r="B232" s="0" t="inlineStr">
        <is>
          <t>RF</t>
        </is>
      </c>
      <c r="C232" s="4">
        <v>1</v>
      </c>
      <c r="D232" s="4">
        <v>1</v>
      </c>
      <c r="E232" s="0" t="inlineStr">
        <is>
          <t>Obwód kostki</t>
        </is>
      </c>
      <c r="F232" s="9">
        <v>46.0</v>
      </c>
      <c r="G232" s="9">
        <v>25.0</v>
      </c>
      <c r="H232" s="3">
        <f>IF(G232="","",F232-G232)</f>
        <v>21.0</v>
      </c>
      <c r="I232" s="2">
        <f>IF(H232="","",ABS(H232))</f>
        <v>21.0</v>
      </c>
      <c r="J232" s="3">
        <v>21.0</v>
      </c>
      <c r="K232" s="0" t="inlineStr">
        <is>
          <t>OK</t>
        </is>
      </c>
    </row>
    <row r="233">
      <c r="A233" s="0" t="inlineStr">
        <is>
          <t>RF-2photos-1.pdf</t>
        </is>
      </c>
      <c r="B233" s="0" t="inlineStr">
        <is>
          <t>RF</t>
        </is>
      </c>
      <c r="C233" s="4">
        <v>1</v>
      </c>
      <c r="D233" s="4">
        <v>2</v>
      </c>
      <c r="E233" s="0" t="inlineStr">
        <is>
          <t>Wzrost</t>
        </is>
      </c>
      <c r="F233" s="9">
        <v>191.0</v>
      </c>
      <c r="G233" s="9">
        <v>191.0</v>
      </c>
      <c r="H233" s="3">
        <f>IF(G233="","",F233-G233)</f>
        <v>0.0</v>
      </c>
      <c r="I233" s="2">
        <f>IF(H233="","",ABS(H233))</f>
        <v>0.0</v>
      </c>
      <c r="J233" s="3">
        <v>0.0</v>
      </c>
      <c r="K233" s="0" t="inlineStr">
        <is>
          <t>OK</t>
        </is>
      </c>
    </row>
    <row r="234">
      <c r="A234" s="0" t="inlineStr">
        <is>
          <t>RF-2photos-1.pdf</t>
        </is>
      </c>
      <c r="B234" s="0" t="inlineStr">
        <is>
          <t>RF</t>
        </is>
      </c>
      <c r="C234" s="4">
        <v>1</v>
      </c>
      <c r="D234" s="4">
        <v>2</v>
      </c>
      <c r="E234" s="0" t="inlineStr">
        <is>
          <t>Obwód szyi</t>
        </is>
      </c>
      <c r="F234" s="9">
        <v>49.0</v>
      </c>
      <c r="G234" s="9">
        <v>42.0</v>
      </c>
      <c r="H234" s="3">
        <f>IF(G234="","",F234-G234)</f>
        <v>7.0</v>
      </c>
      <c r="I234" s="2">
        <f>IF(H234="","",ABS(H234))</f>
        <v>7.0</v>
      </c>
      <c r="J234" s="3">
        <v>7.0</v>
      </c>
      <c r="K234" s="0" t="inlineStr">
        <is>
          <t>OK</t>
        </is>
      </c>
    </row>
    <row r="235">
      <c r="A235" s="0" t="inlineStr">
        <is>
          <t>RF-2photos-1.pdf</t>
        </is>
      </c>
      <c r="B235" s="0" t="inlineStr">
        <is>
          <t>RF</t>
        </is>
      </c>
      <c r="C235" s="4">
        <v>1</v>
      </c>
      <c r="D235" s="4">
        <v>2</v>
      </c>
      <c r="E235" s="0" t="inlineStr">
        <is>
          <t>Szerokość ramion</t>
        </is>
      </c>
      <c r="F235" s="9">
        <v>50.0</v>
      </c>
      <c r="G235" s="9">
        <v>53.0</v>
      </c>
      <c r="H235" s="3">
        <f>IF(G235="","",F235-G235)</f>
        <v>-3.0</v>
      </c>
      <c r="I235" s="2">
        <f>IF(H235="","",ABS(H235))</f>
        <v>3.0</v>
      </c>
      <c r="J235" s="3">
        <v>-3.0</v>
      </c>
      <c r="K235" s="0" t="inlineStr">
        <is>
          <t>OK</t>
        </is>
      </c>
    </row>
    <row r="236">
      <c r="A236" s="0" t="inlineStr">
        <is>
          <t>RF-2photos-1.pdf</t>
        </is>
      </c>
      <c r="B236" s="0" t="inlineStr">
        <is>
          <t>RF</t>
        </is>
      </c>
      <c r="C236" s="4">
        <v>1</v>
      </c>
      <c r="D236" s="4">
        <v>2</v>
      </c>
      <c r="E236" s="0" t="inlineStr">
        <is>
          <t>Obwód klatki piersiowej</t>
        </is>
      </c>
      <c r="F236" s="9">
        <v>104.0</v>
      </c>
      <c r="G236" s="9">
        <v>103.0</v>
      </c>
      <c r="H236" s="3">
        <f>IF(G236="","",F236-G236)</f>
        <v>1.0</v>
      </c>
      <c r="I236" s="2">
        <f>IF(H236="","",ABS(H236))</f>
        <v>1.0</v>
      </c>
      <c r="J236" s="3">
        <v>1.0</v>
      </c>
      <c r="K236" s="0" t="inlineStr">
        <is>
          <t>OK</t>
        </is>
      </c>
    </row>
    <row r="237">
      <c r="A237" s="0" t="inlineStr">
        <is>
          <t>RF-2photos-1.pdf</t>
        </is>
      </c>
      <c r="B237" s="0" t="inlineStr">
        <is>
          <t>RF</t>
        </is>
      </c>
      <c r="C237" s="4">
        <v>1</v>
      </c>
      <c r="D237" s="4">
        <v>2</v>
      </c>
      <c r="E237" s="0" t="inlineStr">
        <is>
          <t>Obwód biustu</t>
        </is>
      </c>
      <c r="F237" s="9">
        <v>104.0</v>
      </c>
      <c r="G237" s="9">
        <v>102.0</v>
      </c>
      <c r="H237" s="3">
        <f>IF(G237="","",F237-G237)</f>
        <v>2.0</v>
      </c>
      <c r="I237" s="2">
        <f>IF(H237="","",ABS(H237))</f>
        <v>2.0</v>
      </c>
      <c r="J237" s="3">
        <v>2.0</v>
      </c>
      <c r="K237" s="0" t="inlineStr">
        <is>
          <t>OK</t>
        </is>
      </c>
    </row>
    <row r="238">
      <c r="A238" s="0" t="inlineStr">
        <is>
          <t>RF-2photos-1.pdf</t>
        </is>
      </c>
      <c r="B238" s="0" t="inlineStr">
        <is>
          <t>RF</t>
        </is>
      </c>
      <c r="C238" s="4">
        <v>1</v>
      </c>
      <c r="D238" s="4">
        <v>2</v>
      </c>
      <c r="E238" s="0" t="inlineStr">
        <is>
          <t>Obwód pod biustem</t>
        </is>
      </c>
      <c r="F238" s="9">
        <v>98.0</v>
      </c>
      <c r="G238" s="9">
        <v>94.0</v>
      </c>
      <c r="H238" s="3">
        <f>IF(G238="","",F238-G238)</f>
        <v>4.0</v>
      </c>
      <c r="I238" s="2">
        <f>IF(H238="","",ABS(H238))</f>
        <v>4.0</v>
      </c>
      <c r="J238" s="3">
        <v>4.0</v>
      </c>
      <c r="K238" s="0" t="inlineStr">
        <is>
          <t>OK</t>
        </is>
      </c>
    </row>
    <row r="239">
      <c r="A239" s="0" t="inlineStr">
        <is>
          <t>RF-2photos-1.pdf</t>
        </is>
      </c>
      <c r="B239" s="0" t="inlineStr">
        <is>
          <t>RF</t>
        </is>
      </c>
      <c r="C239" s="4">
        <v>1</v>
      </c>
      <c r="D239" s="4">
        <v>2</v>
      </c>
      <c r="E239" s="0" t="inlineStr">
        <is>
          <t>Długość ramienia</t>
        </is>
      </c>
      <c r="F239" s="9">
        <v>68.0</v>
      </c>
      <c r="G239" s="9">
        <v>69.0</v>
      </c>
      <c r="H239" s="3">
        <f>IF(G239="","",F239-G239)</f>
        <v>-1.0</v>
      </c>
      <c r="I239" s="2">
        <f>IF(H239="","",ABS(H239))</f>
        <v>1.0</v>
      </c>
      <c r="J239" s="3">
        <v>-1.0</v>
      </c>
      <c r="K239" s="0" t="inlineStr">
        <is>
          <t>OK</t>
        </is>
      </c>
    </row>
    <row r="240">
      <c r="A240" s="0" t="inlineStr">
        <is>
          <t>RF-2photos-1.pdf</t>
        </is>
      </c>
      <c r="B240" s="0" t="inlineStr">
        <is>
          <t>RF</t>
        </is>
      </c>
      <c r="C240" s="4">
        <v>1</v>
      </c>
      <c r="D240" s="4">
        <v>2</v>
      </c>
      <c r="E240" s="0" t="inlineStr">
        <is>
          <t>Obwód ramienia</t>
        </is>
      </c>
      <c r="F240" s="9">
        <v>34.0</v>
      </c>
      <c r="G240" s="9">
        <v>36.0</v>
      </c>
      <c r="H240" s="3">
        <f>IF(G240="","",F240-G240)</f>
        <v>-2.0</v>
      </c>
      <c r="I240" s="2">
        <f>IF(H240="","",ABS(H240))</f>
        <v>2.0</v>
      </c>
      <c r="J240" s="3">
        <v>-2.0</v>
      </c>
      <c r="K240" s="0" t="inlineStr">
        <is>
          <t>OK</t>
        </is>
      </c>
    </row>
    <row r="241">
      <c r="A241" s="0" t="inlineStr">
        <is>
          <t>RF-2photos-1.pdf</t>
        </is>
      </c>
      <c r="B241" s="0" t="inlineStr">
        <is>
          <t>RF</t>
        </is>
      </c>
      <c r="C241" s="4">
        <v>1</v>
      </c>
      <c r="D241" s="4">
        <v>2</v>
      </c>
      <c r="E241" s="0" t="inlineStr">
        <is>
          <t>Obwód nadgarstka</t>
        </is>
      </c>
      <c r="F241" s="9">
        <v>23.0</v>
      </c>
      <c r="G241" s="9">
        <v>19.0</v>
      </c>
      <c r="H241" s="3">
        <f>IF(G241="","",F241-G241)</f>
        <v>4.0</v>
      </c>
      <c r="I241" s="2">
        <f>IF(H241="","",ABS(H241))</f>
        <v>4.0</v>
      </c>
      <c r="J241" s="3">
        <v>4.0</v>
      </c>
      <c r="K241" s="0" t="inlineStr">
        <is>
          <t>OK</t>
        </is>
      </c>
    </row>
    <row r="242">
      <c r="A242" s="0" t="inlineStr">
        <is>
          <t>RF-2photos-1.pdf</t>
        </is>
      </c>
      <c r="B242" s="0" t="inlineStr">
        <is>
          <t>RF</t>
        </is>
      </c>
      <c r="C242" s="4">
        <v>1</v>
      </c>
      <c r="D242" s="4">
        <v>2</v>
      </c>
      <c r="E242" s="0" t="inlineStr">
        <is>
          <t>Długość tułowia</t>
        </is>
      </c>
      <c r="F242" s="9">
        <v>67.0</v>
      </c>
      <c r="G242" s="9">
        <v>54.0</v>
      </c>
      <c r="H242" s="3">
        <f>IF(G242="","",F242-G242)</f>
        <v>13.0</v>
      </c>
      <c r="I242" s="2">
        <f>IF(H242="","",ABS(H242))</f>
        <v>13.0</v>
      </c>
      <c r="J242" s="3">
        <v>13.0</v>
      </c>
      <c r="K242" s="0" t="inlineStr">
        <is>
          <t>OK</t>
        </is>
      </c>
    </row>
    <row r="243">
      <c r="A243" s="0" t="inlineStr">
        <is>
          <t>RF-2photos-1.pdf</t>
        </is>
      </c>
      <c r="B243" s="0" t="inlineStr">
        <is>
          <t>RF</t>
        </is>
      </c>
      <c r="C243" s="4">
        <v>1</v>
      </c>
      <c r="D243" s="4">
        <v>2</v>
      </c>
      <c r="E243" s="0" t="inlineStr">
        <is>
          <t>Długość przodu</t>
        </is>
      </c>
      <c r="F243" s="9">
        <v>58.0</v>
      </c>
      <c r="H243" s="3" t="str">
        <f>IF(G243="","",F243-G243)</f>
        <v/>
      </c>
      <c r="I243" s="2" t="str">
        <f>IF(H243="","",ABS(H243))</f>
        <v/>
      </c>
      <c r="K243" s="10" t="inlineStr">
        <is>
          <t>Brak rzeczywistego</t>
        </is>
      </c>
    </row>
    <row r="244">
      <c r="A244" s="0" t="inlineStr">
        <is>
          <t>RF-2photos-1.pdf</t>
        </is>
      </c>
      <c r="B244" s="0" t="inlineStr">
        <is>
          <t>RF</t>
        </is>
      </c>
      <c r="C244" s="4">
        <v>1</v>
      </c>
      <c r="D244" s="4">
        <v>2</v>
      </c>
      <c r="E244" s="0" t="inlineStr">
        <is>
          <t>Długość pleców</t>
        </is>
      </c>
      <c r="F244" s="9">
        <v>56.0</v>
      </c>
      <c r="H244" s="3" t="str">
        <f>IF(G244="","",F244-G244)</f>
        <v/>
      </c>
      <c r="I244" s="2" t="str">
        <f>IF(H244="","",ABS(H244))</f>
        <v/>
      </c>
      <c r="K244" s="10" t="inlineStr">
        <is>
          <t>Brak rzeczywistego</t>
        </is>
      </c>
    </row>
    <row r="245">
      <c r="A245" s="0" t="inlineStr">
        <is>
          <t>RF-2photos-1.pdf</t>
        </is>
      </c>
      <c r="B245" s="0" t="inlineStr">
        <is>
          <t>RF</t>
        </is>
      </c>
      <c r="C245" s="4">
        <v>1</v>
      </c>
      <c r="D245" s="4">
        <v>2</v>
      </c>
      <c r="E245" s="0" t="inlineStr">
        <is>
          <t>Długość pleców do bioder</t>
        </is>
      </c>
      <c r="F245" s="9">
        <v>67.0</v>
      </c>
      <c r="H245" s="3" t="str">
        <f>IF(G245="","",F245-G245)</f>
        <v/>
      </c>
      <c r="I245" s="2" t="str">
        <f>IF(H245="","",ABS(H245))</f>
        <v/>
      </c>
      <c r="K245" s="10" t="inlineStr">
        <is>
          <t>Brak rzeczywistego</t>
        </is>
      </c>
    </row>
    <row r="246">
      <c r="A246" s="0" t="inlineStr">
        <is>
          <t>RF-2photos-1.pdf</t>
        </is>
      </c>
      <c r="B246" s="0" t="inlineStr">
        <is>
          <t>RF</t>
        </is>
      </c>
      <c r="C246" s="4">
        <v>1</v>
      </c>
      <c r="D246" s="4">
        <v>2</v>
      </c>
      <c r="E246" s="0" t="inlineStr">
        <is>
          <t>Obwód talii</t>
        </is>
      </c>
      <c r="F246" s="9">
        <v>112.0</v>
      </c>
      <c r="G246" s="9">
        <v>93.0</v>
      </c>
      <c r="H246" s="3">
        <f>IF(G246="","",F246-G246)</f>
        <v>19.0</v>
      </c>
      <c r="I246" s="2">
        <f>IF(H246="","",ABS(H246))</f>
        <v>19.0</v>
      </c>
      <c r="J246" s="3">
        <v>19.0</v>
      </c>
      <c r="K246" s="0" t="inlineStr">
        <is>
          <t>OK</t>
        </is>
      </c>
    </row>
    <row r="247">
      <c r="A247" s="0" t="inlineStr">
        <is>
          <t>RF-2photos-1.pdf</t>
        </is>
      </c>
      <c r="B247" s="0" t="inlineStr">
        <is>
          <t>RF</t>
        </is>
      </c>
      <c r="C247" s="4">
        <v>1</v>
      </c>
      <c r="D247" s="4">
        <v>2</v>
      </c>
      <c r="E247" s="0" t="inlineStr">
        <is>
          <t>Obwód bioder</t>
        </is>
      </c>
      <c r="F247" s="9">
        <v>130.0</v>
      </c>
      <c r="G247" s="9">
        <v>109.0</v>
      </c>
      <c r="H247" s="3">
        <f>IF(G247="","",F247-G247)</f>
        <v>21.0</v>
      </c>
      <c r="I247" s="2">
        <f>IF(H247="","",ABS(H247))</f>
        <v>21.0</v>
      </c>
      <c r="J247" s="3">
        <v>21.0</v>
      </c>
      <c r="K247" s="0" t="inlineStr">
        <is>
          <t>OK</t>
        </is>
      </c>
    </row>
    <row r="248">
      <c r="A248" s="0" t="inlineStr">
        <is>
          <t>RF-2photos-1.pdf</t>
        </is>
      </c>
      <c r="B248" s="0" t="inlineStr">
        <is>
          <t>RF</t>
        </is>
      </c>
      <c r="C248" s="4">
        <v>1</v>
      </c>
      <c r="D248" s="4">
        <v>2</v>
      </c>
      <c r="E248" s="0" t="inlineStr">
        <is>
          <t>Wysokość stanu</t>
        </is>
      </c>
      <c r="F248" s="9">
        <v>101.0</v>
      </c>
      <c r="H248" s="3" t="str">
        <f>IF(G248="","",F248-G248)</f>
        <v/>
      </c>
      <c r="I248" s="2" t="str">
        <f>IF(H248="","",ABS(H248))</f>
        <v/>
      </c>
      <c r="K248" s="10" t="inlineStr">
        <is>
          <t>Brak rzeczywistego</t>
        </is>
      </c>
    </row>
    <row r="249">
      <c r="A249" s="0" t="inlineStr">
        <is>
          <t>RF-2photos-1.pdf</t>
        </is>
      </c>
      <c r="B249" s="0" t="inlineStr">
        <is>
          <t>RF</t>
        </is>
      </c>
      <c r="C249" s="4">
        <v>1</v>
      </c>
      <c r="D249" s="4">
        <v>2</v>
      </c>
      <c r="E249" s="0" t="inlineStr">
        <is>
          <t>Obwód uda</t>
        </is>
      </c>
      <c r="F249" s="9">
        <v>59.0</v>
      </c>
      <c r="G249" s="9">
        <v>68.0</v>
      </c>
      <c r="H249" s="3">
        <f>IF(G249="","",F249-G249)</f>
        <v>-9.0</v>
      </c>
      <c r="I249" s="2">
        <f>IF(H249="","",ABS(H249))</f>
        <v>9.0</v>
      </c>
      <c r="J249" s="3">
        <v>-9.0</v>
      </c>
      <c r="K249" s="0" t="inlineStr">
        <is>
          <t>OK</t>
        </is>
      </c>
    </row>
    <row r="250">
      <c r="A250" s="0" t="inlineStr">
        <is>
          <t>RF-2photos-1.pdf</t>
        </is>
      </c>
      <c r="B250" s="0" t="inlineStr">
        <is>
          <t>RF</t>
        </is>
      </c>
      <c r="C250" s="4">
        <v>1</v>
      </c>
      <c r="D250" s="4">
        <v>2</v>
      </c>
      <c r="E250" s="0" t="inlineStr">
        <is>
          <t>Długość nogawki po wewnętrznej</t>
        </is>
      </c>
      <c r="F250" s="9">
        <v>89.0</v>
      </c>
      <c r="H250" s="3" t="str">
        <f>IF(G250="","",F250-G250)</f>
        <v/>
      </c>
      <c r="I250" s="2" t="str">
        <f>IF(H250="","",ABS(H250))</f>
        <v/>
      </c>
      <c r="K250" s="10" t="inlineStr">
        <is>
          <t>Brak rzeczywistego</t>
        </is>
      </c>
    </row>
    <row r="251">
      <c r="A251" s="0" t="inlineStr">
        <is>
          <t>RF-2photos-1.pdf</t>
        </is>
      </c>
      <c r="B251" s="0" t="inlineStr">
        <is>
          <t>RF</t>
        </is>
      </c>
      <c r="C251" s="4">
        <v>1</v>
      </c>
      <c r="D251" s="4">
        <v>2</v>
      </c>
      <c r="E251" s="0" t="inlineStr">
        <is>
          <t>Obwód kolana</t>
        </is>
      </c>
      <c r="F251" s="9">
        <v>58.0</v>
      </c>
      <c r="G251" s="9">
        <v>42.0</v>
      </c>
      <c r="H251" s="3">
        <f>IF(G251="","",F251-G251)</f>
        <v>16.0</v>
      </c>
      <c r="I251" s="2">
        <f>IF(H251="","",ABS(H251))</f>
        <v>16.0</v>
      </c>
      <c r="J251" s="3">
        <v>16.0</v>
      </c>
      <c r="K251" s="0" t="inlineStr">
        <is>
          <t>OK</t>
        </is>
      </c>
    </row>
    <row r="252">
      <c r="A252" s="0" t="inlineStr">
        <is>
          <t>RF-2photos-1.pdf</t>
        </is>
      </c>
      <c r="B252" s="0" t="inlineStr">
        <is>
          <t>RF</t>
        </is>
      </c>
      <c r="C252" s="4">
        <v>1</v>
      </c>
      <c r="D252" s="4">
        <v>2</v>
      </c>
      <c r="E252" s="0" t="inlineStr">
        <is>
          <t>Obwód łydki</t>
        </is>
      </c>
      <c r="F252" s="9">
        <v>54.0</v>
      </c>
      <c r="G252" s="9">
        <v>39.0</v>
      </c>
      <c r="H252" s="3">
        <f>IF(G252="","",F252-G252)</f>
        <v>15.0</v>
      </c>
      <c r="I252" s="2">
        <f>IF(H252="","",ABS(H252))</f>
        <v>15.0</v>
      </c>
      <c r="J252" s="3">
        <v>15.0</v>
      </c>
      <c r="K252" s="0" t="inlineStr">
        <is>
          <t>OK</t>
        </is>
      </c>
    </row>
    <row r="253">
      <c r="A253" s="0" t="inlineStr">
        <is>
          <t>RF-2photos-1.pdf</t>
        </is>
      </c>
      <c r="B253" s="0" t="inlineStr">
        <is>
          <t>RF</t>
        </is>
      </c>
      <c r="C253" s="4">
        <v>1</v>
      </c>
      <c r="D253" s="4">
        <v>2</v>
      </c>
      <c r="E253" s="0" t="inlineStr">
        <is>
          <t>Obwód kostki</t>
        </is>
      </c>
      <c r="F253" s="9">
        <v>51.0</v>
      </c>
      <c r="G253" s="9">
        <v>25.0</v>
      </c>
      <c r="H253" s="3">
        <f>IF(G253="","",F253-G253)</f>
        <v>26.0</v>
      </c>
      <c r="I253" s="2">
        <f>IF(H253="","",ABS(H253))</f>
        <v>26.0</v>
      </c>
      <c r="J253" s="3">
        <v>26.0</v>
      </c>
      <c r="K253" s="0" t="inlineStr">
        <is>
          <t>OK</t>
        </is>
      </c>
    </row>
  </sheetData>
  <autoFilter ref="A1:K253"/>
  <pageMargins left="0.3" right="0.3" top="0.4" bottom="0.4" header="0.2" footer="0.2"/>
  <pageSetup paperSize="9" orientation="landscape" fitToWidth="1" fitToHeight="0"/>
</worksheet>
</file>

<file path=xl/worksheets/sheet7.xml><?xml version="1.0" encoding="utf-8"?>
<worksheet xmlns="http://schemas.openxmlformats.org/spreadsheetml/2006/main">
  <dimension ref="A1:A23"/>
  <sheetViews>
    <sheetView workbookViewId="0" showGridLines="0">
      <pane ySplit="1" topLeftCell="A2" activePane="bottomLeft" state="frozen"/>
    </sheetView>
  </sheetViews>
  <sheetFormatPr defaultRowHeight="22"/>
  <cols>
    <col min="1" max="1" width="150" customWidth="1"/>
  </cols>
  <sheetData>
    <row r="1" ht="76" customHeight="1">
      <c r="A1" s="5" t="inlineStr">
        <is>
          <t>Jak czytać raport</t>
        </is>
      </c>
    </row>
    <row r="2" ht="28" customHeight="1">
      <c r="A2" s="6" t="inlineStr">
        <is>
          <t>Cel: średnie różnice Siz3r względem pomiarów rzeczywistych, osobno dla jednego i dwóch zdjęć.</t>
        </is>
      </c>
    </row>
    <row r="3" ht="28" customHeight="1">
      <c r="A3" s="6" t="inlineStr">
        <is>
          <t>Nazwa JB-1photo-1: osoba JB, jedno zdjęcie, pierwsza próba. PF-2photos-2: osoba PF, dwa zdjęcia, druga próba.</t>
        </is>
      </c>
    </row>
    <row r="4" ht="28" customHeight="1">
      <c r="A4" s="6" t="inlineStr">
        <is>
          <t>Liczbę zdjęć i próbę odczytano z nazw plików. Tytuły PDF typu „zdjęcie 3” nie określają liczby zdjęć wejściowych.</t>
        </is>
      </c>
    </row>
    <row r="5" ht="28" customHeight="1">
      <c r="A5" s="6" t="inlineStr">
        <is>
          <t>Z 12 PDF odczytano 252 pozycje: 202 z pomiarem rzeczywistym i 50 bez niego. Po 101 porównań na wariant.</t>
        </is>
      </c>
    </row>
    <row r="6" ht="28" customHeight="1">
      <c r="A6" s="6" t="inlineStr">
        <is>
          <t>Średnio o ile Siz3r się myli: średnia odległość wyniku od rzeczywistego pomiaru. Zawsze 0 lub więcej; mniej oznacza dokładniej.</t>
        </is>
      </c>
    </row>
    <row r="7" ht="28" customHeight="1">
      <c r="A7" s="6" t="inlineStr">
        <is>
          <t>Przykład: wynik za duży o 4 cm i za mały o 4 cm dają średnią pomyłkę 4 cm, lecz średnie zawyżenie / zaniżenie 0 cm.</t>
        </is>
      </c>
    </row>
    <row r="8" ht="28" customHeight="1">
      <c r="A8" s="6" t="inlineStr">
        <is>
          <t>Średnie zawyżenie / zaniżenie: średnia z Siz3r minus rzeczywisty. Plus oznacza wynik za duży, minus za mały.</t>
        </is>
      </c>
    </row>
    <row r="9" ht="28" customHeight="1">
      <c r="A9" s="6" t="inlineStr">
        <is>
          <t>Co daje 2. zdjęcie: „1,00 cm lepiej” oznacza pomyłkę mniejszą o 1 cm, „1,00 cm gorzej” większą o 1 cm.</t>
        </is>
      </c>
    </row>
    <row r="10" ht="28" customHeight="1">
      <c r="A10" s="6" t="inlineStr">
        <is>
          <t>Excel przechowuje efekt jako liczbę: wynik dla 2 zdjęć minus wynik dla 1 zdjęcia. Format komórki dodaje słowo „lepiej” lub „gorzej”.</t>
        </is>
      </c>
    </row>
    <row r="11" ht="28" customHeight="1">
      <c r="A11" s="6" t="inlineStr">
        <is>
          <t>Główna tabela nadaje każdej próbie tę samą wagę. BB i RF mają po jednej próbie na wariant; JB i PF po dwie.</t>
        </is>
      </c>
    </row>
    <row r="12" ht="28" customHeight="1">
      <c r="A12" s="6" t="inlineStr">
        <is>
          <t>Zakładka „Równa waga osób” pokazuje dodatkowy wariant, w którym najpierw uśredniono próby każdej osoby.</t>
        </is>
      </c>
    </row>
    <row r="13" ht="28" customHeight="1">
      <c r="A13" s="6" t="inlineStr">
        <is>
          <t>Brakujące rzeczywiste wartości nie zostały zastąpione zerami. Liczba porównań oznacza dostępne pomiary, a nie liczbę osób.</t>
        </is>
      </c>
    </row>
    <row r="14" ht="28" customHeight="1">
      <c r="A14" s="6" t="inlineStr">
        <is>
          <t>Łączny wynik jest średnią po dostępnych pozycjach i zależy od zestawu wymiarów oraz braków danych.</t>
        </is>
      </c>
    </row>
    <row r="15" ht="28" customHeight="1">
      <c r="A15" s="6" t="inlineStr">
        <is>
          <t>Klatka piersiowa i biust są osobnymi pozycjami, zgodnie z PDF. Wzrost uwzględniono; jest zgodny we wszystkich plikach.</t>
        </is>
      </c>
    </row>
    <row r="16" ht="28" customHeight="1">
      <c r="A16" s="6" t="inlineStr">
        <is>
          <t>Kolumny „Poprzednie” i „Zmiana” w dwóch PDF nie zostały policzone jako dodatkowe próby.</t>
        </is>
      </c>
    </row>
    <row r="17" ht="28" customHeight="1">
      <c r="A17" s="6" t="inlineStr">
        <is>
          <t>W źródłowych PDF przypisano rzeczywiste wartości do nazw wymiarów według kolejności wierszy. Raport zachowuje te przypisania.</t>
        </is>
      </c>
    </row>
    <row r="18" ht="28" customHeight="1">
      <c r="A18" s="6" t="inlineStr">
        <is>
          <t>Raport opisuje dostarczone wyniki 4 osób. Powtórzenia tej samej osoby nie oznaczają dodatkowych niezależnych osób.</t>
        </is>
      </c>
    </row>
    <row r="19" ht="28" customHeight="1">
      <c r="A19" s="6" t="inlineStr">
        <is>
          <t>Weryfikacja: wszystkie 202 różnice z PDF zgadzają się z ponownym odejmowaniem Siz3r − rzeczywisty.</t>
        </is>
      </c>
    </row>
    <row r="20" ht="28" customHeight="1">
      <c r="A20" s="6" t="inlineStr">
        <is>
          <t>Weryfikacja: wartości rzeczywiste oraz braki są spójne między próbami tej samej osoby.</t>
        </is>
      </c>
    </row>
    <row r="21" ht="28" customHeight="1">
      <c r="A21" s="6" t="inlineStr">
        <is>
          <t>Folder źródłowy: C:\Users\suici\Downloads\Siz3rSizesComparisons</t>
        </is>
      </c>
    </row>
    <row r="22" ht="28" customHeight="1">
      <c r="A22" s="6" t="inlineStr">
        <is>
          <t>Wartości w Excelu zachowują pełną precyzję. PDF i CSV pokazują wyniki zaokrąglone do 2 miejsc.</t>
        </is>
      </c>
    </row>
    <row r="23" ht="28" customHeight="1">
      <c r="A23" s="6" t="inlineStr">
        <is>
          <t>Źródłowe pliki pozostawiono bez zmian. Plik analiza.py umożliwia ponowne wygenerowanie raportu.</t>
        </is>
      </c>
    </row>
  </sheetData>
  <pageMargins left="0.3" right="0.3" top="0.4" bottom="0.4" header="0.2" footer="0.2"/>
  <pageSetup paperSize="9" orientation="landscape" fitToWidth="1" fitToHeight="0"/>
</worksheet>
</file>

<file path=xl/worksheets/sheet8.xml><?xml version="1.0" encoding="utf-8"?>
<worksheet xmlns="http://schemas.openxmlformats.org/spreadsheetml/2006/main">
  <dimension ref="A1:G13"/>
  <sheetViews>
    <sheetView workbookViewId="0" showGridLines="0">
      <pane ySplit="1" topLeftCell="A2" activePane="bottomLeft" state="frozen"/>
    </sheetView>
  </sheetViews>
  <sheetFormatPr defaultRowHeight="22"/>
  <cols>
    <col min="1" max="1" width="25" customWidth="1"/>
    <col min="2" max="2" width="12" customWidth="1"/>
    <col min="3" max="3" width="17" customWidth="1"/>
    <col min="4" max="4" width="12" customWidth="1"/>
    <col min="5" max="5" width="20" customWidth="1"/>
    <col min="6" max="6" width="12" customWidth="1"/>
    <col min="7" max="7" width="72" customWidth="1"/>
  </cols>
  <sheetData>
    <row r="1" ht="76" customHeight="1">
      <c r="A1" s="1" t="inlineStr">
        <is>
          <t>Plik</t>
        </is>
      </c>
      <c r="B1" s="1" t="inlineStr">
        <is>
          <t>Osoba</t>
        </is>
      </c>
      <c r="C1" s="11" t="inlineStr">
        <is>
          <t>Liczba zdjęć</t>
        </is>
      </c>
      <c r="D1" s="11" t="inlineStr">
        <is>
          <t>Próba</t>
        </is>
      </c>
      <c r="E1" s="11" t="inlineStr">
        <is>
          <t>Liczba wierszy</t>
        </is>
      </c>
      <c r="F1" s="11" t="inlineStr">
        <is>
          <t>Strony</t>
        </is>
      </c>
      <c r="G1" s="1" t="inlineStr">
        <is>
          <t>SHA-256</t>
        </is>
      </c>
    </row>
    <row r="2">
      <c r="A2" s="0" t="inlineStr">
        <is>
          <t>BB-1photo-1.pdf</t>
        </is>
      </c>
      <c r="B2" s="0" t="inlineStr">
        <is>
          <t>BB</t>
        </is>
      </c>
      <c r="C2" s="4">
        <v>1</v>
      </c>
      <c r="D2" s="4">
        <v>1</v>
      </c>
      <c r="E2" s="4">
        <v>21</v>
      </c>
      <c r="F2" s="4">
        <v>1</v>
      </c>
      <c r="G2" s="0" t="inlineStr">
        <is>
          <t>d6350421cb3338ce8ecb252a263379a5f8162b1284ef4cf251d7ab512d4a1210</t>
        </is>
      </c>
    </row>
    <row r="3">
      <c r="A3" s="0" t="inlineStr">
        <is>
          <t>BB-2photos-1.pdf</t>
        </is>
      </c>
      <c r="B3" s="0" t="inlineStr">
        <is>
          <t>BB</t>
        </is>
      </c>
      <c r="C3" s="4">
        <v>2</v>
      </c>
      <c r="D3" s="4">
        <v>1</v>
      </c>
      <c r="E3" s="4">
        <v>21</v>
      </c>
      <c r="F3" s="4">
        <v>1</v>
      </c>
      <c r="G3" s="0" t="inlineStr">
        <is>
          <t>2f36506a5147eeb2ca4df1ae929d3b89d582ff1e29f9d63e9aa55f6b9a9c0c3d</t>
        </is>
      </c>
    </row>
    <row r="4">
      <c r="A4" s="0" t="inlineStr">
        <is>
          <t>JB-1photo-1.pdf</t>
        </is>
      </c>
      <c r="B4" s="0" t="inlineStr">
        <is>
          <t>JB</t>
        </is>
      </c>
      <c r="C4" s="4">
        <v>1</v>
      </c>
      <c r="D4" s="4">
        <v>1</v>
      </c>
      <c r="E4" s="4">
        <v>21</v>
      </c>
      <c r="F4" s="4">
        <v>1</v>
      </c>
      <c r="G4" s="0" t="inlineStr">
        <is>
          <t>9fb0f53f56d89f3286cdc508b93c989ab8f24e241c305c500a1aeb32674efce1</t>
        </is>
      </c>
    </row>
    <row r="5">
      <c r="A5" s="0" t="inlineStr">
        <is>
          <t>JB-1photo-2.pdf</t>
        </is>
      </c>
      <c r="B5" s="0" t="inlineStr">
        <is>
          <t>JB</t>
        </is>
      </c>
      <c r="C5" s="4">
        <v>1</v>
      </c>
      <c r="D5" s="4">
        <v>2</v>
      </c>
      <c r="E5" s="4">
        <v>21</v>
      </c>
      <c r="F5" s="4">
        <v>1</v>
      </c>
      <c r="G5" s="0" t="inlineStr">
        <is>
          <t>2259c232b25da377958f7c7574d3b5a1f731611ef11e1d32ace566bd8b77c52e</t>
        </is>
      </c>
    </row>
    <row r="6">
      <c r="A6" s="0" t="inlineStr">
        <is>
          <t>JB-2photos-1.pdf</t>
        </is>
      </c>
      <c r="B6" s="0" t="inlineStr">
        <is>
          <t>JB</t>
        </is>
      </c>
      <c r="C6" s="4">
        <v>2</v>
      </c>
      <c r="D6" s="4">
        <v>1</v>
      </c>
      <c r="E6" s="4">
        <v>21</v>
      </c>
      <c r="F6" s="4">
        <v>1</v>
      </c>
      <c r="G6" s="0" t="inlineStr">
        <is>
          <t>a5c661f972549b85b40f7819433df2b6d37a96aa46eaec603bdd1a1c86edeffb</t>
        </is>
      </c>
    </row>
    <row r="7">
      <c r="A7" s="0" t="inlineStr">
        <is>
          <t>JB-2photos-2.pdf</t>
        </is>
      </c>
      <c r="B7" s="0" t="inlineStr">
        <is>
          <t>JB</t>
        </is>
      </c>
      <c r="C7" s="4">
        <v>2</v>
      </c>
      <c r="D7" s="4">
        <v>2</v>
      </c>
      <c r="E7" s="4">
        <v>21</v>
      </c>
      <c r="F7" s="4">
        <v>1</v>
      </c>
      <c r="G7" s="0" t="inlineStr">
        <is>
          <t>16224c5c0202745c9046dc3eb2c15e08e1c90ab98db4239a3da614f4e15d9fd1</t>
        </is>
      </c>
    </row>
    <row r="8">
      <c r="A8" s="0" t="inlineStr">
        <is>
          <t>PF-1photo-1.pdf</t>
        </is>
      </c>
      <c r="B8" s="0" t="inlineStr">
        <is>
          <t>PF</t>
        </is>
      </c>
      <c r="C8" s="4">
        <v>1</v>
      </c>
      <c r="D8" s="4">
        <v>1</v>
      </c>
      <c r="E8" s="4">
        <v>21</v>
      </c>
      <c r="F8" s="4">
        <v>1</v>
      </c>
      <c r="G8" s="0" t="inlineStr">
        <is>
          <t>61180199f1bf866e1614379b2a0b8d785c27cd7104e20a8f57b0d699784eaf26</t>
        </is>
      </c>
    </row>
    <row r="9">
      <c r="A9" s="0" t="inlineStr">
        <is>
          <t>PF-1photo-2.pdf</t>
        </is>
      </c>
      <c r="B9" s="0" t="inlineStr">
        <is>
          <t>PF</t>
        </is>
      </c>
      <c r="C9" s="4">
        <v>1</v>
      </c>
      <c r="D9" s="4">
        <v>2</v>
      </c>
      <c r="E9" s="4">
        <v>21</v>
      </c>
      <c r="F9" s="4">
        <v>1</v>
      </c>
      <c r="G9" s="0" t="inlineStr">
        <is>
          <t>49f67bc9cf913446217fcb87755a12fc9152c9ac52ede0ef5aa6687b0195adf4</t>
        </is>
      </c>
    </row>
    <row r="10">
      <c r="A10" s="0" t="inlineStr">
        <is>
          <t>PF-2photos-1.pdf</t>
        </is>
      </c>
      <c r="B10" s="0" t="inlineStr">
        <is>
          <t>PF</t>
        </is>
      </c>
      <c r="C10" s="4">
        <v>2</v>
      </c>
      <c r="D10" s="4">
        <v>1</v>
      </c>
      <c r="E10" s="4">
        <v>21</v>
      </c>
      <c r="F10" s="4">
        <v>1</v>
      </c>
      <c r="G10" s="0" t="inlineStr">
        <is>
          <t>45f6b0609f398d0946bf3963cd2ee83bb0beb3b3d84b3a5e622ad91ce56bc096</t>
        </is>
      </c>
    </row>
    <row r="11">
      <c r="A11" s="0" t="inlineStr">
        <is>
          <t>PF-2photos-2.pdf</t>
        </is>
      </c>
      <c r="B11" s="0" t="inlineStr">
        <is>
          <t>PF</t>
        </is>
      </c>
      <c r="C11" s="4">
        <v>2</v>
      </c>
      <c r="D11" s="4">
        <v>2</v>
      </c>
      <c r="E11" s="4">
        <v>21</v>
      </c>
      <c r="F11" s="4">
        <v>1</v>
      </c>
      <c r="G11" s="0" t="inlineStr">
        <is>
          <t>e24f5706f6a0bd00bbfe54d54a81efb233fee2186cf261670793780d1abc5f30</t>
        </is>
      </c>
    </row>
    <row r="12">
      <c r="A12" s="0" t="inlineStr">
        <is>
          <t>RF-1photo-1.pdf</t>
        </is>
      </c>
      <c r="B12" s="0" t="inlineStr">
        <is>
          <t>RF</t>
        </is>
      </c>
      <c r="C12" s="4">
        <v>1</v>
      </c>
      <c r="D12" s="4">
        <v>1</v>
      </c>
      <c r="E12" s="4">
        <v>21</v>
      </c>
      <c r="F12" s="4">
        <v>1</v>
      </c>
      <c r="G12" s="0" t="inlineStr">
        <is>
          <t>063ca8793f77a63b91c5d78169a45bafe5e0f5ebab245ecfa2193723b1d23e99</t>
        </is>
      </c>
    </row>
    <row r="13">
      <c r="A13" s="0" t="inlineStr">
        <is>
          <t>RF-2photos-1.pdf</t>
        </is>
      </c>
      <c r="B13" s="0" t="inlineStr">
        <is>
          <t>RF</t>
        </is>
      </c>
      <c r="C13" s="4">
        <v>2</v>
      </c>
      <c r="D13" s="4">
        <v>1</v>
      </c>
      <c r="E13" s="4">
        <v>21</v>
      </c>
      <c r="F13" s="4">
        <v>1</v>
      </c>
      <c r="G13" s="0" t="inlineStr">
        <is>
          <t>e6b6e63fc9d902bbaef85a72831476b975a70e598960640e8725392ba9180c4e</t>
        </is>
      </c>
    </row>
  </sheetData>
  <autoFilter ref="A1:G13"/>
  <pageMargins left="0.3" right="0.3" top="0.4" bottom="0.4" header="0.2" footer="0.2"/>
  <pageSetup paperSize="9" orientation="landscape" fitToWidth="1" fitToHeight="0"/>
</worksheet>
</file>